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katys\Desktop\Misc\Publications\4_Meta-Analysis\FINAL_2026\Analyses\"/>
    </mc:Choice>
  </mc:AlternateContent>
  <xr:revisionPtr revIDLastSave="0" documentId="13_ncr:1_{E29372E8-1559-46E4-A6AB-33F165CBC3FC}" xr6:coauthVersionLast="47" xr6:coauthVersionMax="47" xr10:uidLastSave="{00000000-0000-0000-0000-000000000000}"/>
  <bookViews>
    <workbookView xWindow="-28920" yWindow="-120" windowWidth="29040" windowHeight="15720" tabRatio="594" xr2:uid="{C7B6A17B-CA3F-4541-8C5E-755C41C0A00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85" i="1" l="1"/>
  <c r="E218" i="1"/>
  <c r="E215" i="1"/>
  <c r="E160" i="1"/>
  <c r="E133" i="1"/>
  <c r="E132" i="1"/>
  <c r="E108" i="1"/>
  <c r="E82" i="1"/>
  <c r="E27" i="1"/>
  <c r="E25" i="1"/>
  <c r="E23" i="1"/>
  <c r="E17" i="1"/>
  <c r="E15" i="1"/>
  <c r="E16" i="1"/>
  <c r="E18" i="1"/>
  <c r="E276" i="1"/>
</calcChain>
</file>

<file path=xl/sharedStrings.xml><?xml version="1.0" encoding="utf-8"?>
<sst xmlns="http://schemas.openxmlformats.org/spreadsheetml/2006/main" count="13513" uniqueCount="1709">
  <si>
    <t>Title</t>
  </si>
  <si>
    <t>Year</t>
  </si>
  <si>
    <t>Notes</t>
  </si>
  <si>
    <t>Family</t>
  </si>
  <si>
    <t>Genus</t>
  </si>
  <si>
    <t>Species</t>
  </si>
  <si>
    <t>Common Name</t>
  </si>
  <si>
    <t>Biome</t>
  </si>
  <si>
    <t>Elevation</t>
  </si>
  <si>
    <t>Brief Summary</t>
  </si>
  <si>
    <t>Abstract</t>
  </si>
  <si>
    <t>Authors</t>
  </si>
  <si>
    <t>Journal/Source</t>
  </si>
  <si>
    <t>Reproduction of the Crag Martin (Ptyonoprogne rupestris) in relation to weather and colony size</t>
  </si>
  <si>
    <t>Ornis Fennica</t>
  </si>
  <si>
    <t>From 1994 to 1999, we investigated how climatic conditions influence the laying dates and number of fledged young of the Crag Martin Ptyonoprogne rupestris, a poorly studied colonial martin that, like other aerial feeding birds, is supposed to be highly dependent on weather conditions. Laying dates were concentrated in May and the first half of June. The mean annual laying date differed significantly among years; however, probably because of the small absolute difference between early and late years, there was no influence on the clutch size nor on the number of fledged young. Mean clutch size was 4.4 ± 0.9 eggs, the hatching rate was 80.2 percent, and the average number of fledged young was 3.1 ± 1.9. Temperature and rainfall in the days before laying and during the incubation period did not influence the breeding success, while in the chick rearing period there was a negative relationship between temperature and number of fledged young. It is supposed that high temperature can negatively influence breeding success through the drying up of small rivers where parents find food (mainly aquatic insects). In our study area the Crag Martins nested solitarily or in small colonies (mean 3.5 ± 1.9 nests). Colony size did not influence the laying date, the clutch size or the number of successfully fledged young.</t>
  </si>
  <si>
    <t>JOURNAL OF WILDLIFE MANAGEMENT</t>
  </si>
  <si>
    <t>AUK</t>
  </si>
  <si>
    <t>Wilson Journal of Ornithology</t>
  </si>
  <si>
    <t>Heavy rainfall increases nestling mortality of an arctic top predator: Experimental evidence and long-term trend in peregrine falcons</t>
  </si>
  <si>
    <t>Oecologia</t>
  </si>
  <si>
    <t>Although animal population dynamics have often been correlated with fluctuations in precipitation, causal relationships have rarely been demonstrated in wild birds. We combined nest observations with a field experiment to investigate the direct effect of rainfall on survival of peregrine falcon (Falco peregrinus) nestlings in the Canadian Arctic. We then used historical data to evaluate if recent changes in the precipitation regime could explain the long-term decline of falcon annual productivity. Rainfall directly caused more than one-third of the recorded nestling mortalities. Juveniles were especially affected by heavy rainstorms (≥8 mm/day). Nestlings sheltered from rainfall by a nest box had significantly higher survival rates. We found that the increase in the frequency of heavy rain over the last three decades is likely an important factor explaining the recent decline in falcon nestling survival rates, and hence the decrease in annual breeding productivity of the population. Our study is among the first experimental demonstrations of the direct link between rainfall and survival in wild birds, and clearly indicates that top arctic predators can be significantly impacted by changes in precipitation regime. © 2013 The Author(s).</t>
  </si>
  <si>
    <t>Rapid plastic breeding response to rain matches peak prey abundance in a tropical savanna bird</t>
  </si>
  <si>
    <t>JOURNAL OF ANIMAL ECOLOGY</t>
  </si>
  <si>
    <t>Changes in climate are shifting the timing of life cycle events in the natural world. Compared to northern temperate areas, these effects are relatively poorly understood in tropical and southern regions, where there is limited information on how timing of breeding and food availability are affected by climatic factors, and where patterns of breeding activity are more unpredictable within and between years. Combining a new statistical modelling approach with 5 years of continuous individual-based monitoring of a monsoonal tropical insectivorous bird, we quantified (a) the proximate climatic drivers at two trophic levels: timing of breeding and abundance of arthropod prey; (b) the effect of climate variation on reproductive output and (c) the role of individual plasticity. Rainfall was identified as the main determinant of phenology at both trophic levels. Throughout the year, likelihood of egg laying increased very rapidly in response to even small amounts of rain during the preceding 0-3 weeks. Adult body mass and male sperm storage also increased rapidly after rain, suggesting high breeding preparedness. Additionally, females were flexible, since they were more likely to nest whether their previous attempt was longer ago and unsuccessful. Arthropod abundance also increased after rainfall, but more slowly, with a peak around 10 weeks. Therefore, the peak food availability coincided with the presence of dependent fledglings. Fitness benefits of nesting after more rain appeared to be linked to offspring quantity rather than quality: nest attempts following higher rainfall produced larger clutches, but showed no improvement in nestling mass or relative fledging success. The response of clutch size to rainfall was plastic, since repeated sampling showed that individual females laid larger clutches after more rain, possibly mediated by improved body mass. Rapid, individually flexible breeding in response to rainfall and slower increase in arthropod abundance also as a response to rainfall, might buffer insectivorous species living in tropical seasonal environments from climate change-induced phenological trophic mismatches.</t>
  </si>
  <si>
    <t>Effects of weather on nesting biology of the pied flycatcher Ficedula hypoleuca (Passeriformes, Muscicapidae) in Karelia</t>
  </si>
  <si>
    <t>Zoologicheskii Zhurnal</t>
  </si>
  <si>
    <t>A significant dependence of the Ficedula hypoleuca population on climatic fluctuations was revealed based on the data of long-term studies (1980-2000) in Karelia (60°46′ N, 32°48′ E). The temperature regime in lateApril - early May was responsible for arrival dates and nesting population density. The general pattern of spring warming affected the reproduction parameters, such as clutch size and brood volume, dates, success, and productivity of reproduction. The most substantial influence on birds was exerted by weather in May when the totality of effective temperatures (above +5°C) reached 150°C, and minimum air temperatures steadily exceeded +2°C. Air temperatures and precipitation in June when birds hatch and feed nestlings had a smaller effect on nesting success. Spring weather triggers reproduction and is responsible for its major parameters, such as population productivity etc.</t>
  </si>
  <si>
    <t>Endangered Species Research</t>
  </si>
  <si>
    <t>Evidence of reproductive senescence of released individuals in a reinforced bird population</t>
  </si>
  <si>
    <t>Biological Conservation</t>
  </si>
  <si>
    <t>In free-ranging populations, age-dependent variation in fitness related parameters, in particular the pattern of senescence, has major eco-evolutionary implications and potential influence on population dynamics. Despite the recent surge of studies of senescence in the wild, senescence patterns in species for which population dynamics assessments are crucial, such as translocated populations, remain virtually unexplored. Based on a 15-year nest survey of a North-African Houbara bustard population in Morocco, we investigated age variation in the breeding performance of captive-bred females released in the wild. We identified 781 females, from 1 to 10 years of age, on 1094 nests. We examined how age influenced nest initiation date, clutch size, egg volume, daily nest survival and daily brood survival, as well as whether age-dependent patterns varied according to environmental conditions. Most breeding parameters exhibited variation, suggesting an increase in breeding performance with age in young females (those from 1 to 3 years old). In older females (&gt; 7–8 years old), the egg volume and clutch size decreased with age, in concordance with expectations from senescence theories and previous empirical results obtained from captive Houbara bustards. Finally, our analysis uncovered a significant interaction between age and the amount of precipitation prior to the breeding season on clutch size, suggesting differential abilities of females of different ages to increase their breeding investment. Our study suggests that life histories in translocated individuals are not affected by translocation protocols and provides insights for implementing age dependencies in population viability assessments. © 2017 Elsevier Ltd</t>
  </si>
  <si>
    <t>Ecology and Evolution</t>
  </si>
  <si>
    <t>Ibis: the international journal of avian science</t>
  </si>
  <si>
    <t>Ibis</t>
  </si>
  <si>
    <t>Colonial Waterbirds</t>
  </si>
  <si>
    <t>Nest site characteristics, patterns of nest reuse, and reproductive output in an Arctic-nesting raptor, the Rough-legged Hawk</t>
  </si>
  <si>
    <t>Auk</t>
  </si>
  <si>
    <t>Physical characteristics of nest sites are thought to influence their use by birds and the outcome of breeding attempts. The presence of preexisting nesting structures can also be an important factor influencing reuse patterns and reproductive success. We examined the relationships between nest-site physical characteristics, patterns of nest reuse, and reproductive output in Rough-legged Hawks (Buteo lagopus) breeding in the Canadian High Arctic. Because this species is a rodent specialist, we also examined the effect of variation in lemming density, their primary prey, on reproductive output. We monitored 109 nesting attempts over a 9 yr period and sampled physical characteristics of 87 known nesting sites in 53 territories on Bylot Island, Nunavut, Canada. The probability that a nest was used by a breeding pair increased with the distance to the nearest breeding conspecific, for nests sheltered by an overhang, and with lemming density. Hawk nests inaccessible to foxes and facing away from the north were associated with high reproductive success. Reproductive success was also positively related to summer lemming density and negatively related to rainfall. Our results suggest that nest-site physical characteristics that offer a favorable microclimate and protection from weather and predators provide the highest-quality sites. We observed a high level of reuse of preexisting nests and previously occupied territories, which is indicative of site fidelity by individuals. Hawks that bred in a newly built nest had similar clutch size and hatching date compared to those that used preexisting nests, which suggests that building a new nest entailed no short-term reproductive costs. Reproductive success was nonetheless reduced for birds breeding in new nests located in newly occupied territories compared to those nesting in previously occupied ones, which suggests that a high proportion of pairs in new territories were young birds or that some of these sites were of low quality. © 2016 American Ornithologists' Union.</t>
  </si>
  <si>
    <t>The effects of a remediated fly ash spill and weather conditions on reproductive success and offspring development in tree swallows</t>
  </si>
  <si>
    <t>Environmental Monitoring and Assessment</t>
  </si>
  <si>
    <t>Animals are exposed to natural and anthropogenic stressors during reproduction that may individually or interactively influence reproductive success and offspring development. We examined the effects of weather conditions, exposure to element contamination from a recently remediated fly ash spill, and the interaction between these factors on reproductive success and growth of tree swallows (Tachycineta bicolor) across nine colonies. Females breeding in colonies impacted by the spill transferred greater concentrations of mercury (Hg), selenium (Se), strontium, and thallium to their eggs than females in reference colonies. Parental provisioning of emerging aquatic insects resulted in greater blood Se concentrations in nestlings in impacted colonies compared to reference colonies, and these concentrations remained stable across 2 years. Egg and blood element concentrations were unrelated to reproductive success or nestling condition. Greater rainfall and higher ambient temperatures during incubation were later associated with longer wing lengths in nestlings, particularly in 2011. Higher ambient temperatures and greater Se exposure posthatch were associated with longer wing lengths in 2011 while in 2012, blood Se concentrations were positively related to wing length irrespective of temperature. We found that unseasonably cold weather was associated with reduced hatching and fledging success among all colonies, but there was no interactive effect between element exposure and inclement weather. Given that blood Se concentrations in some nestlings exceeded the lower threshold of concern, and concentrations of Se in blood and Hg in eggs are not yet declining, future studies should continue to monitor exposure and effects on insectivorous wildlife in the area. © 2015, Springer International Publishing Switzerland.</t>
  </si>
  <si>
    <t>Journal of Ornithology</t>
  </si>
  <si>
    <t>Influence of environmental and density-dependent factors on reproduction of Little Egrets</t>
  </si>
  <si>
    <t>We evaluated the influence of environmental and density-dependent factors (intraspecific and interspecific) on clutch size, brood size, and nesting success of Little Egrets (Egretta garzetta) in the Camargue of southern France. We recorded these reproductive parameters in most years from 1970 to 1998. We used a generalized linear modeling approach (model selection based on AIC) to examine the environmental effects of spring rainfall, winter temperature, and wind on these parameters. We also examined density dependence of these parameters based on the total number of Little Egrets and the total number of tree-nesting herons nesting in these mixed-species colonies. Clutch size was positively associated with rainfall and negatively associated with the number of Little Egret nests in the Camargue. Brood size was negatively associated with the number of Little Egret nests, although rainfall was only significant as an interaction effect with these two effects. Nesting success was negatively associated with the number of tree-nesting herons, the proportion of each colony consisting of Cattle Egrets (Bubulcus ibis), wind speed, and several interactions among these variables. Virtually all of the reproductive parameters that we evaluated were negatively associated with the number of Little Egret nests or the number of tree-nesting herons. Anecdotal evidence suggests that Cattle Egrets displace Little Egrets at some centrally located nest sites. Such sites are better protected from strong winds, which are a common cause of nesting failure.</t>
  </si>
  <si>
    <t>Objectives were to evaluate the nesting success and nest-site selection of snail kites during the experimental 'rain-driven' water release program and to evaluate the potential impacts of the water delivery program on future nesting populations. Emphasis was placed on the effects of hydrologic conditions in an effort to evaluate the influence of the release program; however, the scope of the project included examining several potential influences on the reproductive ecology of snail kites (Copyright applies to all Abstracts.)</t>
  </si>
  <si>
    <t>Animal Behaviour</t>
  </si>
  <si>
    <t>Condor</t>
  </si>
  <si>
    <t>Seasonal reproductive costs contribute to reduced survival of female greater sage-grouse.</t>
  </si>
  <si>
    <t>Journal of Avian Biology</t>
  </si>
  <si>
    <t>Tradeoffs among demographic traits are a central component of life history theory. We investigated tradeoffs between reproductive effort and survival in female greater sage-grouse breeding in the American Great Basin, while also considering reproductive heterogeneity by examining covariance among current and future reproductive success. We analyzed survival and reproductive histories from 328 individual female greater sage-grouse captured between 2003 and 2011, and examined the effect of reproductive effort on survival and future reproduction. Monthly survival of females was variable within years, and this within-year variation was associated with distinct biological seasons. Monthly survival was greatest during the winter (November-March; Φ&lt;sub&gt; W&lt;/sub&gt;= 0.99 ± 0.001 SE), and summer (June-July; Φ&lt;sub&gt; S&lt;/sub&gt;= 0.98 ± 0.01 SE), and lower during nesting (April-May; Φ&lt;sub&gt; N&lt;/sub&gt;= 0.93 ± 0.02 SE) and fall (August-October; Φ&lt;sub&gt; F&lt;/sub&gt;= 0.92 ± 0.02 SE). Successful reproduction was associated with reduced monthly survival during summer and fall, and this effect was greatest during fall. Females that successfully fledged chicks had lower annual survival (0.47 ± 0.05 SE) than females who were not successful (0.64 ± 0.04 SE). Annual survival did not vary across years, consistent with a slow-paced life history strategy in greater sage-grouse. In contrast, reproductive success varied widely, and was positively correlated with annual rainfall. We found evidence for heterogeneity among females with respect to reproductive success; compared with unsuccessful females, females that raised a brood successfully in year t were more than twice as likely to be successful in year t+ 1. Female greater sage-grouse incur costs to survival associated with reproduction, however, variation in quality among females may override costs to subsequent reproductive output. [ABSTRACT FROM AUTHOR] Copyright of Journal of Avian Biology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</si>
  <si>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Rain may have more influence than temperature on nest abandonment in the Great Tit Parus major.</t>
  </si>
  <si>
    <t>Ardea</t>
  </si>
  <si>
    <t>The article focuses on a study which investigates weather parameters like temperature or rain which influences on nest abandonment in the Great Tit Parus and determines during which breeding period nests are the most susceptible to abandonment. It concludes that amount of rainfall was more important in comparison to temperature in describing variation in nest abandonment. (Copyright applies to all Abstracts.)</t>
  </si>
  <si>
    <t>The indirect effects of climate variability on the reproductive dynamics and productivity of an avian predator in the arid Southwest</t>
  </si>
  <si>
    <t>The deserts of the southwestern US are experiencing rapid warming, and climate models predict declining winter precipitation. The combined effects of higher air temperatures and drought are a reduction in productivity, which may importantly impact reproduction in consumers. Here, we investigate the effects of warming and drought on the reproductive timing and output in loggerhead shrikes (Lanius ludovicianus) in central New Mexico from 2007 to 2012. We found increases in air temperature of 3 °C during the breeding season (March–July) and highly variable winter and annual precipitation. With increasing spring temperatures, shrikes advanced nesting phenology by 20 days over 6 years, a much higher rate than is reported for any other bird species. During this period, the number of breeding pairs also increased from 25 to 37, and clutch size and the number offspring produced per successful nest did not vary. Nest success, however, was often very low and ranged from 11 to 46 %. Although our models indicated that low nest success was driven by precipitation and temperature, it was mediated indirectly through increased predation rates during the hot and dry periods. © 2015, Springer-Verlag Berlin Heidelberg.</t>
  </si>
  <si>
    <t>Does rainfall affect the productivity of the Booted Eagle (Aquila pennata) during the breeding period in Mediterranean environments?</t>
  </si>
  <si>
    <t>The breeding performance of birds of prey is often related to changes in rainfall, which affects the productivity of the environment and the availability of food and may thereby affect chick survival. We investigated the influence of rainfall on the productivity of two populations of Booted Eagle Aquila pennata in two Spanish Mediterranean regions-central Catalonia and Murcia-at 29 and 28 breeding sites, respectively, from 2008 to 2012. During the study period, we found significant interannual differences in all of the weather variables, but these did not translate into interannual differences in the high productivity achieved in either area. We modelled the effects of rainfall on productivity through a linear mixed model procedure. This regression model revealed that precipitation did not cause any response in the productivity of the two populations studied. The results were then compared with data available on a Booted Eagle population in Biscay with a reported nest failure of 65 %-attributed by the authors to heavy and prolonged spring rainfall. Although total precipitation during breeding was slightly higher in Catalonia during our study period than that reported for Biscay, the more than 60 % difference in the number of rainy days in Biscay suggests that persistent rainfall is the main cause of nest failure at the latter location. Therefore, we conclude that our model indicates that rainfall has no significant effect on Booted Eagle productivity in Mediterranean environments. (English) [ABSTRACT FROM AUTHOR] Copyright of Journal of Ornithology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</si>
  <si>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When to commence breeding is a fundamental decision made by individuals that inhabit seasonal environments. Although photoperiod determines the timing of breeding in most temperate zones, other abiotic conditions can also play a significant role by influencing food availability and, consequently, reproductive performance throughout a breeding cycle. This study used the multibrooded endangered Cape Sable Seaside Sparrow (Ammodramus maritimus mirabilis) to test whether water conditions (rainfall and groundwater levels) influenced breeding variables in a subtropical environment, the Florida Everglades. Timing of breeding was related to rainfall preceding the breeding season, with females initiating nesting up to 1 month earlier in years with greater rainfall. Clutch size averaged 3.4 eggs, and females showed an increase in clutch size as the breeding season progressed and in response to higher groundwater levels during the laying period. This effect was more apparent for first nesting attempts, with drier conditions limiting clutch size. Although wetter conditions favored earlier breeding and larger clutch sizes, annual nest survival (range: 12-36%) was negatively associated with high average rainfall late in the breeding season. Clutch-size variation and high nest survival in Cape Sable Seaside Sparrows' first nesting attempts suggests that food-mediated processes affect their reproductive decisions early in the breeding season, whereas predator-mediated processes drove overall reproductive output, possibly through increased activity of major nest predators during wetter conditions. Received 23 August 2010, accepted 22 February 2011.</t>
  </si>
  <si>
    <t>Nest survival is influenced by parental behaviour and heterospecifics in a mixed-species colony</t>
  </si>
  <si>
    <t>IBIS</t>
  </si>
  <si>
    <t>Studies of avian nest success often focus on examining influences of variation in environmental and seasonal factors. However, in-depth evaluations can also incorporate variation in individual incubation behaviour to further advance our understanding of avian reproductive ecology. We examined these relationships in colonially nesting Black-crowned Night-Herons Nycticorax nycticorax using intensive video-monitoring methods to quantify incubation behaviours. We modelled nest survival as a function of both extrinsic factors and incubation behaviours over a 3-year period (2010-12) on Alcatraz Island, USA. Model-averaged parameter estimates indicated that nest survival increased as a function of greater incubation constancy (% of time spent incubating eggs within a 24-h period), and average daily precipitation throughout the nesting stage. Common Ravens Corvus corax are the only known nest predator of Night-Herons on Alcatraz Island, as on many other coastal Pacific islands. We also investigated the effects of heterospecific nesting of California Gulls Larus californicus and Western Gulls Larus occidentalis in a mixed-species colony with Night-Herons, based on nesting proximity data collected over a 2-year period (2011-12). This second analysis indicated that, in addition to incubation behaviours, nesting heterospecifics are an important factor for explaining variation in Night-Heron nest survival. However, contrary to our original expectation, we found that Night-Herons experienced increased nest survival with increasing distance from gull colony boundaries. These results may apply to other areas with multiple colonial nesting species and similar predator communities and climatic patterns.</t>
  </si>
  <si>
    <t>Austral Ecology</t>
  </si>
  <si>
    <t>Environmental conditions but not nest composition affect reproductive success in an urban bird</t>
  </si>
  <si>
    <t>Adjusting the composition of their nests, breeding birds can influence the environmental conditions that eggs and offspring experience. Birds often use feathers to build nests, presumably due to their insulating properties. The amount of feathers in nests is often associated with increased nestling survival and body condition. However, it is unclear whether these putative beneficial effects of adding feathers to nests are relevant in a wide range of environmental conditions. Here, we combine data on weather conditions and feathers in nests (i.e., nest composition) to investigate their relative contribution to reproductive success in the Eurasian tree sparrow (Passer montanus). Specifically, we investigate whether the effect of weather conditions on breeding success is modulated by the amount of feathers added to the nest. We found a strong negative effect of rainfall on the number of nestlings that successfully fledged per breeding attempt, but this negative effect was not mitigated by the amount of feathers in nests. We also found that the amount of feathers in nests varied along the breeding season, with nests containing more feathers early in the breeding season, when temperatures were lower. Despite considerable variation in nest composition, our results do not suggest an important role of feathers in nests protecting eggs or nestling tree sparrows against fluctuations in environmental conditions. © 2021 The Authors. Ecology and Evolution published by John Wiley &amp; Sons Ltd.</t>
  </si>
  <si>
    <t>Journal of Field Ornithology</t>
  </si>
  <si>
    <t>Reproductive plasticity and landscape heterogeneity benefit a ground-nesting bird in a fire-prone ecosystem:</t>
  </si>
  <si>
    <t>Ecological Applications</t>
  </si>
  <si>
    <t>Breeding success and population growth of Southern Ground Hornbills Bucorvus leadbeateri in an area supplemented with nest-boxes</t>
  </si>
  <si>
    <t>Bird Conservation International</t>
  </si>
  <si>
    <t>The provision of artificial nests can improve the conservation status of threatened bird species that are limited by nest-site availability. The shortage of natural cavity nesting sites is one factor limiting the population growth of the Southern Ground Hornbill Bucorvus leadbeateri. In an 1,800 km2 study area in north-eastern South Africa, 31 wooden nest-boxes were installed during 2002-2015. We investigated the relationships between nests, as well as environmental and social factors, with breeding. Generalised linear mixed models were fitted to the observational data and identified positive relationships between breeding attempts and each of home range size and the previous year's rainfall; as well as positive relationships between breeding success (amongst the groups that attempt breeding) and each of earlier breeding, nest height and thickness of the nest cavity wall. The provision of nest-boxes increased the number of breeding groups and although breeding success also increased initially, it later declined as the density of breeding groups increased above 20 groups. Although nest-boxes alone did not increase overall breeding success, they are an effective conservation tool to enhance the population of Southern Ground Hornbills if spaced optimally, to enhance reproductive output in areas where suitable nest-sites are scarce or lacking. © 2019 BirdLife International.</t>
  </si>
  <si>
    <t>Determinants of nest survival in a managed Florida Scrub-Jay population</t>
  </si>
  <si>
    <t>Bird populations occupying managed transitional habitats often have low nest success because optimal habitat conditions are not maintained. In such cases, quantifying determinants of nest survival provides information for habitat maintenance or restoration. Our goal was to determine the current factors affecting nest survival in a managed but declining population of the Florida Scrub-Jay (Aphelocoma coerulescens) in Merritt Island National Wildlife Refuge. We used an information-theoretic approach and nest-survival models in program MARK to test a priori hypotheses for survival of Florida Scrub-Jay nests. Failure of Florida Scrub-Jay nests was common; only 35% of 614 were successful in producing at least one fledgling. Ninety-four percent of 399 nest failures were due to predation. Nest survival was highest in oak-dominated territories, varied by population center, and decreased with proximity to forest edges, as the season progressed, and with increasing accumulated rainfall prior to the nesting season. Shrub height, a primary focus of current efforts at habitat-quality assessment and management, was not well supported as a determinant of survival of Florida Scrub-Jay nests at Merritt Island. We suggest hypotheses to explain the lack of support for an effect of shrub height, and we conclude that mitigation of low nest survival at Merritt Island may require additional actions. © The Cooper Ornithological Society 2011.</t>
  </si>
  <si>
    <t>Agriculture modifies the seasonal decline of breeding success in a tropical wild bird population</t>
  </si>
  <si>
    <t>Journal of Applied Ecology</t>
  </si>
  <si>
    <t>Habitat conversion for agriculture is a major driver of biodiversity loss, but our understanding of the demographic processes involved remains poor. We typically investigate the impacts of agriculture in isolation even though populations are likely to experience multiple, concurrent changes in the environment (e.g. land and climate change). Drivers of environmental change may interact to affect demography, but the mechanisms have yet to be explored fully in wild populations. Here, we investigate the mechanisms linking agricultural land use with breeding success using long-term data for the formerly Critically Endangered Mauritius kestrel Falco punctatus, a tropical forest specialist that also occupies agricultural habitats. We specifically focused on the relationship between breeding success, agriculture and the timing of breeding because the latter is sensitive to changes in climatic conditions (spring rainfall) and enables us to explore the interactive effects of different (land and climate) drivers of environmental change. Breeding success, measured as egg survival to fledging, declines seasonally in this population, but we found that the rate of this decline became increasingly rapid as the area of agriculture around a nest site increased. If the relationship between breeding success and agriculture was used in isolation to estimate the demographic impact of agriculture, it would significantly under-estimate breeding success in dry (early) springs and over-estimate breeding success in wet (late) springs. Analysis of prey delivered to nests suggests that the relationship between breeding success and agriculture might be due, in part, to spatial variation in the availability of native, arboreal geckos. Synthesis and applications. Agriculture modifies the seasonal decline in breeding success in this population. As springs are becoming wetter in our study area and since the kestrels breed later in wetter springs, the impact of agriculture on breeding success will become worse over time. Our results suggest that forest restoration designed to reduce the detrimental impacts of agriculture on breeding may also help reduce the detrimental effects of breeding late due to wetter springs. Our results therefore highlight the importance of considering the interactive effects of environmental change when managing wild populations. Agriculture modifies the seasonal decline in breeding success in this population. As springs are becoming wetter in our study area and since the kestrels breed later in wetter springs, the impact of agriculture on breeding success will become worse over time. Our results suggest that forest restoration designed to reduce the detrimental impacts of agriculture on breeding may also help reduce the detrimental effects of breeding late due to wetter springs. Our results therefore highlight the importance of considering the interactive effects of environmental change when managing wild populations. © 2014 The Authors.</t>
  </si>
  <si>
    <t>Charman E.C., Smith K.W., Dillon I.A., Dodd S., Gruar D.J., Cristinacce A., Grice P.V., Gregory R.D.</t>
  </si>
  <si>
    <t>Drivers of low breeding success in the Lesser Spotted Woodpecker Dendrocopos minor in England: Testing hypotheses for the decline</t>
  </si>
  <si>
    <t>Bird Study</t>
  </si>
  <si>
    <t>Capsule The breeding success of Lesser Spotted Woodpeckers Dendrocopos minor is now lower in England than previously reported and also lower than found in studies elsewhere in Europe. Aims To quantify the breeding success and identify the causes of nest failure. To test the hypotheses that breeding success is related to aspects of food limitation and parental care, and inclement weather during the nesting period, or to interactions with Great Spotted Woodpeckers. Methods Nests were monitored in three regions of England, recording survival and causes of failure. We measured aspects of food limitation and parental care, rainfall and Great Spotted Woodpecker interactions at nests, to explore whether there was any evidence that these factors were related to breeding success. We compared results to other studies from the UK and continental Europe. Results Nest survival was 52%. The average number of chicks produced from successful nests was 2.8. Chick-stage daily nest survival was positively related to provisioning rates, indicating that food supply may be limiting. The most common cause of nest failure was presumed starvation of chicks after the disappearance of an adult. Some females ceased visiting nests, leaving provisioning solely to the male. This behaviour has been reported elsewhere in Europe, but in the present study males were unable to compensate fully by increasing their provisioning rates, leading to poor nest survival. Provisioning rates and chick-stage daily nest survival were negatively associated with rainfall. Nest predation by Great Spotted Wood peckers occurred but was a less frequent cause of failure. Aggressive interactions were recorded between the two woodpecker species but these were unrelated to breeding parameters. Conclusions Low breeding success is most probably related to food shortages in the breeding period. Simple population modelling using parameters from the present study and from published work shows that if the low productivity that we have observed is replicated throughout Britain, it would be sufficient to account for the observed population decline. However, the possibility that survival rates are also low cannot be ruled out. © 2012 British Trust for Ornithology.</t>
  </si>
  <si>
    <t>The effect of different nest types on the breeding success of Eurasian kestrels (Falco tinnunculus) in a rural ecosystem</t>
  </si>
  <si>
    <t>Journal of Raptor Research</t>
  </si>
  <si>
    <t>June, 2007</t>
  </si>
  <si>
    <t>Corella</t>
  </si>
  <si>
    <t>Ecology</t>
  </si>
  <si>
    <t>Shorebird breeding biology in wetlands of the Playa Lakes, Texas, USA</t>
  </si>
  <si>
    <t>WATERBIRDS</t>
  </si>
  <si>
    <t>Wetlands in the Playa Lakes Region of Texas are important habitats for North American wintering waterfowl and migrant shorebirds. However, shorebird breeding biology has been overlooked in characterizing the region's ecological importance. In 1998 and 1999, American Avocet (Recurvirostra americana), Black-necked Stilt (Himantopus mexicanus), Killdeer (Charadrius vocferous), and Snowy Plover (C. alexandrinus) breeding ecology were studied in playas, saline lakes, and riparian wetlands in the Playa Lakes Region of Texas. Chronology of nest initiation, clutch sizes, and hatching success for 298 Snowy Plover, 111 American Avocet, 43 Killdeer, and 26 Blacknecked Stilt clutches were measured. All four species nested in saline lakes, American Avocet and Killdeer also nested in playas, and Snowy Plover nested on riparian wetlands. American Avocet had higher hatching success in 1999 (52%) than 1998 (8%), because of more suitable hydrological conditions and lower predation. Hatching success was higher in 1998 than 1999 for Killdeer (1998, 63%; 1999, 21%) and Snowy Plover (1998, 47%; 1999, 33%) due to failures caused by flooding and hail in 1999. In other regions, clutch predation limits shorebird productivity, but hatching success in the Playa Lakes Region appears to be limited by unpredictable precipitation patterns and wetland hydroperiod. As such, breeding shorebird conservation and management should focus upon maintaining wetland hydrological integrity.</t>
  </si>
  <si>
    <t>PLoS ONE</t>
  </si>
  <si>
    <t>Helpers in colonial cooperatively breeding sociable weavers Philetairus socius contribute to buffer the effects of adverse breeding conditions</t>
  </si>
  <si>
    <t>BEHAVIORAL ECOLOGY AND SOCIOBIOLOGY</t>
  </si>
  <si>
    <t>Some studies on the effects of helpers in cooperatively breeding vertebrates show a positive effect of helper presence on reproductive output whereas others find no effect. One possibility for this discrepancy is that helpers may have a positive effect when breeding conditions are adverse, while their effect might go unnoticed under good conditions. We investigate this hypothesis on sociable weavers Philetairus socius, a colonial cooperatively breeding passerine that inhabits a semi-arid region where breeding conditions vary markedly. We used multivariate mixed models to analyse the effect of helpers on reproduction under contrasting environmental and social conditions while controlling for parental and colony identity. We found that reproductive success in sociable weavers was primarily influenced by nest predation and rainfall. In addition, colony size was negatively associated with hatching and fledging success and number of young fledged per season. Helpers had a less prominent but significant influence on feeding rates and reproductive outcome. In agreement with expectations, the presence of helpers counteracted some of the negative effects of breeding in periods of low rainfall or in large colonies and was also associated with an increased number of young fledged per season. Our results illustrate that the effect of helpers might be detectable mostly under unfavourable conditions, but can contribute to improve reproductive performance in those situations.</t>
  </si>
  <si>
    <t>Tide and habitat features affect salt marsh songbird nest survival in northeast Florida, USA</t>
  </si>
  <si>
    <t>Tidal salt marshes face numerous pressures that threaten their ecological integrity, and many salt marsh vertebrates have exhibited declines concomitant with the degradation of salt marsh habitats. We studied nest survival of MacGillivray's seaside sparrow Ammospiza maritima macgillivraii and Worthington's marsh wren Cistothorus palustris griseus in smooth cordgrass Spartina alterniflora and black needlerush Juncus roemerianus dominated salt marshes in northeast Florida, USA, during 2015-2017 to understand why both species have undergone range contractions. We evaluated the effects of tides, habitat features, and weather on nest survival. The probability of a nest surviving from laying to fledging young was low for both species (seaside sparrow: 0.03, 95% CI: 0.00, 0.10; marsh wren: 0.10, 95% CI: 0.04, 0.18), suggesting that nest survival may limit population growth. The most substantial threat to marsh wren and seaside sparrow nest survival was from greater than normal high tides. However, there was limited evidence of direct nest loss due to flooding. An analysis of only fledged and depredated nests suggests that higher tides influenced nest survival by increasing nest predation, substantially so for marsh wrens. Other factors negatively associated with marsh wren nest survival, albeit less strongly, included precipitation and the amount of black needlerush at and within 50 m of the nest. The effect of tide height on nest survival suggests that salt marsh birds in northeast Florida are vulnerable to continued sea-level rise, which is exacerbated by upland development that will hinder marsh migration. Monitoring and protecting northeast Florida's high-elevation, cordgrass-dominated marshes should be a priority. © The authors 2020.</t>
  </si>
  <si>
    <t>Global Change Biology</t>
  </si>
  <si>
    <t>Temporal variation in the effects of individual and environmental factors on nest success</t>
  </si>
  <si>
    <t>Factors that affect the survival of nestling birds can drive the dynamics of populations and the evolution of life histories. Such factors may include a variety of intrinsic, biotic, or abiotic factors that vary in magnitude or effect over ecological time scales. Consequently, estimates of the influence of such factors on nest success may differ when estimated from short- vs. long-term studies. We tested this possibility by estimating the influence of 2 intrinsic factors (female age and inbreeding coefficient), 2 abiotic factors (rainfall and temperature), and 3 biotic factors (breeding density, parasitism rate, and brood parasitism) previously found to predict success (≥1 fledged young) in a 39 yr study of a Song Sparrow (Melospiza melodia) population on Mandarte Island, British Columbia, Canada. We then compared those estimates to others obtained from parallel models based on the the first 13 yr, middle 13 yr, and last 13 yr of the study. Over the entire study, nest success increased in females from ages 1 to 3 yr but declined thereafter. Nest success also declined as female inbreeding, rainfall during nesting, and breeding density increased. We further observed that nests parasitized by Brown-headed Cowbirds (Molothrus ater) or located in areas subject to high parasitism rates failed more often than unparasitized nests or those in areas with fewer parasitized nests. By contrast, the only factors identified as influencing nest success in all three 13 yr study periods examined were female age and population density, whereas the effects of inbreeding, brood parasitism, and rainfall varied temporally. Our results indicate that precise estimates of the effects of intrinsic, abiotic, and biotic drivers on nest success may require long-term studies, particularly for influential factors that occur episodically. © 2018 American Ornithological Society.</t>
  </si>
  <si>
    <t>Rapid warming and drought negatively impact population size and reproductive dynamics of an avian predator in the arid southwest</t>
  </si>
  <si>
    <t>Avian communities of arid ecosystems may be particularly vulnerable to global climate change due to the magnitude of projected change for desert regions and the inherent challenges for species residing in resource limited ecosystems. How arid-zone birds will be affected by rapid increases in air temperature and increased drought frequency and severity is poorly understood because avian responses to climate change have primarily been studied in the relatively mesic northern temperate regions. We studied the effects of increasing air temperature and aridity on a Burrowing Owl (Athene cunicularia) population in the southwestern United States from 1998 to 2013. Over 16 years, the breeding population declined 98.1%, from 52 pairs to 1 pair, and nest success and fledgling output also declined significantly. These trends were strongly associated with the combined effects of decreased precipitation and increased air temperature. Arrival on the breeding grounds, pair formation, nest initiation, and hatch dates all showed significant delays ranging from 9.4 to 25.1 days over 9 years, which have negative effects on reproduction. Adult and juvenile body mass decreased significantly over time, with a loss of 7.9% mass in adult males and 10.9% mass in adult females over 16 years, and a loss of 20.0% mass in nestlings over 8 years. Taken together, these population and reproductive trends have serious implications for local population persistence. The southwestern United States has been identified as a climate change hotspot, with projections of warmer temperatures, less winter precipitation, and an increase in frequency and severity of extreme events including drought and heat waves. An increasingly warm and dry climate may contribute to this species' decline and may already be a driving force of their apparent decline in the desert southwest. © 2016 John Wiley &amp; Sons Ltd.</t>
  </si>
  <si>
    <t>Reproductive data and analysis of recoveries in a population of white stork ciconia ciconia in southern spain: A 24-year study [Historial reproductivo y análisis de las recapturas de una población de cigüeñas blanca ciconia ciconia del sur de españa: Un estudio de 24 años]</t>
  </si>
  <si>
    <t>Animal Biodiversity and Conservation</t>
  </si>
  <si>
    <t>Changes in nest density and reproductive success of a free-ranging population of white stork (Ciconia ciconia) in the Gardens of ZooBotánico Jerez (Cádiz) were studied from 1990 to 2013. Reproductive data (number of nests and number of chicks per nest) and the effect of rainfall on the reproductive success were analyzed. In addition, a number of chicks were colour-ringed each year and the recovery data were also analyzed. The number of nests found in the area steadily increased during the study period and varied greatly from year to year from 2001 onwards (mean 19, range = 4-35, N = 22 years). Reproductive success also varied greatly among years. Overall, the mean number of chicks per nest was 1.78 ± 1.2 (range = 0-5, N = 439 nests).Reproductive success was strongly influenced by rainfall. It was highest (1.88) in years classified as rainy, medium (1.62) in years classified as normal, and lowest (1.24) in dry years. A total of 404 white storks were ringed, 110 of which were observed a total of 308 times (2.8 + 2.8 times per bird, range 1-12, all year data pooled). Recovery data show that with one exception, all ringed birds were recorded at different habitats of S Spain throughout the year. Remarkably, none was observed at traditional wintering quarters, south of the Sahara in Africa. Juveniles remained in the area (from July to October) soon after leaving our colony, and virtually all of them disappeared from November to January (their first winter) but were recorded again during their first breeding season. On the contrary, adults were repeatedly recorded at different sites in Cádiz, Sevilla and Huelva all year round. These birds showed a strong philopatry as some of them were recorded as breeders in our colony, up to 11 years after ringing. Our data emphasize the importance of both refuse damp and wetland areas for the species, especially in winter, and a shift in the timing of the reproductive season as birds were recorded from November to July each year. Our study provides evidence of the increase in the population, a significant effect of rainfall on their reproductive success, and the non-migratory habits of adult white storks in our colony. To our knowledge, this is the first time that such long-term reproductive data for a Mediterranean population of white storks is shown. © 2016 Museu de Ciències Naturals de Barcelona.</t>
  </si>
  <si>
    <t>Climate change has cascading effects on tree masting and the breeding performance of a forest songbird in a primeval forest</t>
  </si>
  <si>
    <t>Science of the Total Environment</t>
  </si>
  <si>
    <t>Forest habitats change significantly under the influence of global warming. It is important to predict the effects of these changes, especially in primeval forests which currently represent a small percentage of temperate forests. Such changes often manifest themselves in an acceleration of the frequency of mass seeding of trees, which causes cascading effects in various organisms. We evaluated changes in: tree masts (oak Quercus robur and hornbeam Carpinus betulus), rodent abundance (yellow-necked mouse Apodemus flavicollis), folivorous caterpillar abundance (winter moth Operophtera brumata), and the breeding success of a cavity-nesting songbird (collared flycatcher Ficedula albicollis) in over a 30-year period in the Białowieża Forest (E Poland). We also analysed temperature, precipitation and snow cover to determine the effects of weather on each trophic level. Previous studies have exposed the indirect effect of tree masting on songbirds breeding in open nests. Our study uniquely highlights the relationships between trees, rodents, caterpillars, and a cavity-nesting bird. Precipitation was positively correlated with the fructification of trees, abundance of caterpillars, and the breeding losses of flycatchers (in July, August, October in the previous year, in May in the current year, respectively). We found that along with the changing climate, the frequency of mast years of oak increased, which caused an increasing frequency of rodent outbreaks. The abundance of mice was positively correlated with the predation on flycatcher broods (current year) and negatively - with the abundance of caterpillars (following year). We predict that current global trends in climate change will have a negative impact on the flycatcher due to the cascading effects from the above species. Bearing in mind that F. albicollis is one of the most numerous bird species, it can be assumed that more frequent masting will result in substantial changes in the entire bird assemblage, and presumably also other groups of animals. © 2020</t>
  </si>
  <si>
    <t>Disentangling climatic and nest predator impact on reproductive output reveals adverse high-temperature effects regardless of helper number in an arid-region cooperative bird</t>
  </si>
  <si>
    <t>Ecology Letters</t>
  </si>
  <si>
    <t>Climate exerts a major influence on reproductive processes, and an understanding of the mechanisms involved and which factors might mitigate adverse weather is fundamental under the ongoing climate change. Here, we study how weather and nest predation influence reproductive output in a social species, and examine whether larger group sizes can mitigate the adverse effects of these factors. We used a 7-year nest predator-exclusion experiment on an arid-region cooperatively breeding bird, the sociable weaver. We found that dry and, especially, hot weather were major drivers of nestling mortality through their influence on nest predation. However, when we experimentally excluded nest predators, these conditions were still strongly associated with nestling mortality. Group size was unimportant against nest predation and, although positively associated with reproductive success, it did not mitigate the effects of adverse weather. Hence, cooperative breeding might have a limited capacity to mitigate extreme weather effects. © 2021 The Authors. Ecology Letters published by John Wiley &amp; Sons Ltd.</t>
  </si>
  <si>
    <t>Journal of Wildlife Management</t>
  </si>
  <si>
    <t>Climatic effects on the breeding phenology and reproductive success of an arctic-nesting goose species</t>
  </si>
  <si>
    <t>Climate warming is pronounced in the Arctic and migratory birds are expected to be among the most affected species. We examined the effects of local and regional climatic variations on the breeding phenology and reproductive success of greater snow geese (Chen caerulescens atlantica), a migratory species nesting in the Canadian Arctic. We used a long-term dataset based on the monitoring of 5447 nests and the measurements of 19234 goslings over 16 years (1989-2004) on Bylot Island. About 50% of variation in the reproductive phenology of individuals was explained by spring climatic factors. High mean temperatures and, to a lesser extent, low snow cover in spring were associated with an increase in nest density and early egg-laying and hatching dates. High temperature in spring and high early summer rainfall were positively related to nesting success. These effects may result from a reduction in egg predation rate when the density of nesting geese is high and when increased water availability allows females to stay close to their nest during incubation recesses. Summer brood loss and production of young at the end of the summer increased when values of the summer Arctic Oscillation (AO) index were either very positive (low temperatures) or very negative (high temperatures), indicating that these components of the breeding success were most influenced by the regional summer climate. Gosling mass and size near fledging were reduced in years with high spring temperatures. This effect is likely due to a reduced availability of high quality food in years with early spring, either due to food depletion resulting from high brood density or a mismatch between hatching date of goslings and the timing of the peak of plant quality. Our analysis suggests that climate warming should advance the reproductive phenology of geese, but that high spring temperatures and extreme values of the summer AO index may decrease their reproductive success up to fledging. © Journal compilation © 2008 Blackwell Publishing.</t>
  </si>
  <si>
    <t>Advanced techniques for modeling avian nest survival</t>
  </si>
  <si>
    <t>ECOLOGY</t>
  </si>
  <si>
    <t>Estimation of avian nest survival has traditionally involved simple measures of apparent nest survival or Mayfield constant-nest-survival models. However, these methods do not allow researchers to build models that rigorously assess the importance of a wide range of biological factors that affect nest survival. Models that incorporate greater detail, such as temporal variation in nest survival and covariates representative of individual nests represent a substantial improvement over traditional estimation methods. In an attempt to improve nest survival estimation procedures, we introduce the nest survival model now available in the program MARK and demonstrate its use on a nesting study of Mountain Plovers (Charadrius montanus Townsend) in Montana, USA. We modeled the daily survival of Mountain Plover nests as a function of the sex of the incubating adult, nest age, year, linear and quadratic time trends, and two weather covariates (maximum daily temperature and daily precipitation) during a six-year study (1995-2000). We found no evidence for yearly differences or an effect of maximum daily temperature on the daily nest survival of Mountain Plovers. Survival rates of nests tended by female and male plovers differed (female rate = 0.33; male rate = 0.49). The estimate of the additive effect for males on nest survival rate was 0.37 (95% confidence limits were 0.03, 0.71) on a logit scale. Daily survival rates of-nests increased with nest age; the estimate of daily nest-age change in survival in the best model was 0.06 (95% confidence limits were 0.04, 0.09) on a logit scale. Daily precipitation decreased the probability that the nest would survive to the next day; the estimate of the additive effect of daily precipitation on the nest survival rate was -1.08 (95% confidence limits were -2.12, -0.13) on a logit scale. Our approach to modeling daily nest-survival rates allowed several biological factors of interest to be easily included in nest survival models and allowed us to generate more biologically meaningful estimates of nest survival.</t>
  </si>
  <si>
    <t>Acta Ornithologica</t>
  </si>
  <si>
    <t>Drought and cooler temperatures are associated with higher nest survival in Mountain plovers [La sécheresse et les températures fraîches sont associées au taux de survie des nids supérieur chez le pluvier montagnard]</t>
  </si>
  <si>
    <t>Avian Conservation and Ecology</t>
  </si>
  <si>
    <t>The response of the Great Reed Warbler Acrocephalus arundinaceus to climate change</t>
  </si>
  <si>
    <t>We examined long-term responses in the breeding performance of the Great Reed Warblers Acrocephalus arundinaceus to climate change. The study took place in various years from 1970 to 2007. During the study period, mean temperatures in the breeding season of the species increased and precipitation decreased significantly. We found evidence for the significant advancement in both earliest and annual median first-egg-laying dates. This advancement correlated with temperature increases early in the season. The latest first-egg laying dates, however, remained unchanged. Other breeding statistics: clutch size, nest losses, and production of young per nest, did not change significantly over the study period. Precipitation did not affect any of the analysed measures. It is important to note, though, that during dry seasons, the production of young per successful nest was higher. In contrast to some woodland species, the Great Reed Warbler seems to adapt well to climate change by shifting laying dates. The reason for this is probably to optimise food resources. © Dt. Ornithologen-Gesellschaft e.V. 2008.</t>
  </si>
  <si>
    <t>Ostrich</t>
  </si>
  <si>
    <t>Weather effects on breeding parameters of two insectivorous passerines in a polluted area</t>
  </si>
  <si>
    <t>Direct and indirect effects of environmental pollution affect negatively to birds' breeding performance in both urban and industrial environments, but much less is known on how pollution and natural stress factors work together. In our long-term study (1991–2018), we explored whether industrial pollution and associated habitat changes increase the sensitivity of breeding parameters (hatching and fledging success, nestling growth) to temperature and precipitation in two insectivorous bird species, the great tit (Parus major) and the pied flycatcher (Ficedula hypoleuca). We found that both species are rather weather sensitive in terms of their fledging success, but especially in the F. hypoleuca, the negative effect was strengthened in a polluted environment. For both study species, all the breeding parameters, except growth of F. hypoleuca nestlings, were inferior in the polluted area and negatively affected by cold weather. Independent of pollution, the duration of rainy spells during the nestling period had an overall negative effect on fledging success of F. hypoleuca, and this effect became stronger at cold temperatures. The length of rainy spells was, however, positively associated with nestling wing length in both species, possibly because of better availability of some important food resources for wing growth in more humid conditions. The weather-pollution interactions in our study populations were not overwhelmingly strong, but those found in F. hypoleuca show that such interactions exist, they are species-specific and in our study system most likely associated to pollution-related resource (e.g. food) limitation. Higher sensitivity of F. hypoleuca to low temperatures is likely related to its less well-insulated nests and higher dependence on aerial prey, the availability of which is especially reduced during cold and rainy spells. Our study indicates that anthropogenic stress, such as pollution, has synergistic effects with natural stress factors affecting passerine birds' breeding performance. © 2020 Elsevier B.V.</t>
  </si>
  <si>
    <t>To fledge or not to fledge: factors influencing the number of eggs and the eggs-to-fledglings rate in White Storks Ciconia ciconia in an agricultural environment</t>
  </si>
  <si>
    <t>Numerous studies have explored the relationship between environmental factors and White Stork Ciconia ciconia reproduction, mainly expressing breeding success as the number of fledglings. Nonetheless, one of the most critical life-history stages in birds falls between egg-laying and fledging, and identifying the factors causing offspring mortality during this period provides valuable knowledge. We quantified the number of laid White Stork eggs and the proportion of eggs that turned into fledglings in an agriculture-dominated region in Eastern Germany. Moreover, we identified the factors among land cover, weather and arrival dates, which influenced these two reproductive measures the most, and analysed the monitored mortality causes. On average, four eggs were laid per nest, and 57.8 % of the eggs turned into fledglings. The number of eggs laid was best explained by the negative effect of the arrival date of the second stork, while the percentage of eggs that turned into fledglings was more dependent on weather: most important parameters were mean temperature in the fifth and seventh weeks after the assumed breeding start (i.e. around the assumed hatching date), and the number of consecutive days with precipitation when nestlings are assumed to be approximately 3 weeks old. In an agricultural environment, weather effects that potentially disturb food availability might be more important than effects directly affecting the survival of White Stork offspring. The most frequent observed mortality cause, nest fights, furthermore revealed the relevance of intraspecific competition in the study population. © 2015, Dt. Ornithologen-Gesellschaft e.V.</t>
  </si>
  <si>
    <t>Factors influencing snowy plover (Charadrius nivosus) nest survival at Great Salt Lake, Utah</t>
  </si>
  <si>
    <t>Waterbirds</t>
  </si>
  <si>
    <t>Reduced nest survival has been suggested as a primary cause for the decline of Snowy Plover (Charadrius nivosus) populations. The fates of Snowy Plover nests (n = 589) were determined from five locations at the Great Salt Lake in Utah during the 2003, 2005-2010 and 2012 breeding seasons. A five-stage hierarchical modeling procedure was used, and five competing models (AICc &lt; 2) that best described variation in nest survival were identified. These competing models included the influences of study site and year with a quadratic time trend and covariates quantifying nest age, temperature, precipitation, distance to water control structures (dikes), and nesting substrate (barren mudflat, vegetation patches, or conspicuous objects). Among unsuccessful nests (45.6%; n = 277), the most common cause of failure was predation (72.9%), followed by weather and abandonment (10.5% and 10.1%, respectively). Daily nest survival rates ranged from 0.89 to 0.97 and varied annually and across sites. Nests located on barren flats had lower daily nest survival than those located in vegetated patches or near conspicuous objects. Proximity to dikes influenced nest survival as nests within 100 m had lower daily survival rates than nests further than 100 m from dikes. The population of Snowy Plovers on the Great Salt Lake contributes substantially to an overall imperiled North American population. Managers should consider measures to reduce the attractiveness of dikes as nesting habitat to increase nest survival rates for Snowy Plover.</t>
  </si>
  <si>
    <t>The influence of mist and rain on the reproductive success of the Blue Swallow Hirundo atrocaerulea (1995-96)</t>
  </si>
  <si>
    <t>Wilson Bulletin</t>
  </si>
  <si>
    <t>Relationships between winter and spring weather and northern goshawk (Accipiter gentilis) reproduction in northern Nevada</t>
  </si>
  <si>
    <t>Ecological factors, such as weather, play important roles in raptor population dynamics. We used logistic and Poisson regression analyses to investigate relationships between late winter, spring, and early summer temperatures and precipitation and Northern Goshawk (Accipiter gentilis) breeding, failure, and productivity in northern Nevada from 1992-2002. We also examined weather data for possible patterns that could explain reported trends in goshawk reproduction. Declines in occupancy of nesting territories by breeding goshawks were related to colder February and March temperatures and increased April precipitation. Warmer April temperatures and decreased precipitation in April July favored re-productive success. Of all significant weather variables, only February and March temperatures had significant temporal trends. Although adverse weather is known to affect goshawk reproduction by decreasing nestling growth and survival, it is unlikely that direct weather effects were responsible for reported reproductive trends in our study area. Weather may have operated indirectly, influencing reproduction through changes in goshawk hunting behavior or food supply (Copyright applies to all Abstracts.)</t>
  </si>
  <si>
    <t>Nest and brood survival of lesser prairie-chickens in west central Kansas</t>
  </si>
  <si>
    <t>We evaluated the effect of habitat use and other sources of variation on survival of lesser prairie-chicken (Tympanuchus pallidicinctus) and greater prairie-chicken (Tympanuchus cupido) nests and broods. Daily nest and brood-survival probabilities were a function of a quadratic time trend, and both declined as the season progressed. Daily nest survival was negatively associated with nest age, and daily brood survival was positively associated with brood age. Lastly, broods tended by adult females had higher daily survival rates than broods reared by subadult females. The probability of a nest surviving from 10 May to 1 June was 0.72 (SE = 0.06). The probability of a brood surviving from 1 June to 30 July (hatch to 60 days posthatch) was 0.49 (SE = 0.19) and 0.05 (SE = 0.03) for broods reared by adults and subadults, respectively. Although nesting females and females with broods were using Conservation Reserve Program grasslands, there appeared to be no benefit to nest and brood survival during our study. Instead, age of the nest and brood, timing during the season, age of the brooding female, and precipitation during brooding were more important predictors of survival. Further experimentation is needed to determine the mechanisms responsible for decreased nest and brood survival throughout the season. Results from such research could be used to formulate management strategies to improve nest and brood survival.</t>
  </si>
  <si>
    <t>Condor: Ornithological Applications</t>
  </si>
  <si>
    <t>Interannual climate variation influences nest initiation date and nest productivity of the Red-cockaded Woodpecker at the northwestern edge of its range</t>
  </si>
  <si>
    <t>Ornithological Applications</t>
  </si>
  <si>
    <t>Climate change, including directional shifts in weather averages and extremes and increased interannual weather variation, is influencing demography and distributions for many bird species. The Ouachita Mountains ecoregion in southeast Oklahoma and west-central Arkansas contains 2 populations of the Red-cockaded Woodpecker (Dryobates borealis, RCW), a federally endangered, cooperatively breeding species. Since this region is at the RCW's northwestern range periphery, ecological thresholds likely are limiting for the species. Therefore, populations in this region may be more sensitive to climate change-associated weather variation and unpredictability. We used 26 years of nesting data (1991-2016) from the 2 RCW populations to determine if interannual weather variation has affected nesting phenology and productivity. For each population, we used daily temperature and precipitation data for 3 periods (30 and 60 days before nesting; 40 days overlapping the nesting period) to determine how weather influences median nesting date and average clutch size and numbers of fledglings. In a separate analysis, we used shorter time windows with individual nests as replicates to determine how discrete weather events (e.g., minimum and maximum temperatures and intense precipitation events) affect nest success and partial brood loss. For both Oklahoma and Arkansas populations, warmer early spring temperatures generally advanced nesting and increased clutch size and fledgling number. However, the effects of average precipitation varied depending on the amount and duration of precipitation in different time periods. At the nest level, most variables reflecting discrete temperature and precipitation events were unrelated to nest success and brood loss, suggesting that factors other than weather (e.g., habitat quality and predation) more strongly influenced the nesting output of individual RCW broods. Our results indicate RCWs are responding to interannual weather variation in complex and variable ways. However, warming trends may generally be having positive effects on the species at the northwestern edge of its range. © Copyright © American Ornithological Society 2021. All rights reserved.</t>
  </si>
  <si>
    <t>WILSON JOURNAL OF ORNITHOLOGY</t>
  </si>
  <si>
    <t>The breeding biology of the endemic Berthelot's Pipit Anthus berthelotii in a harsh oceanic island environment (Tenerife, Canary Islands)</t>
  </si>
  <si>
    <t>Nesting ecology and reproductive success of mixed-grass prairie songbirds [Ecología de la anidación y éxito reproductivo de aves canoras en praderas de pastos mixtos]</t>
  </si>
  <si>
    <t>Ring-Necked Pheasant Use of Post - Conservation Reserve Program Lands</t>
  </si>
  <si>
    <t>Rangeland Ecology and Management</t>
  </si>
  <si>
    <t>The Conservation Reserve Program (CRP) has provided millions of ha of cover for numerous wildlife species. Many CRP contracts have expired or will expire, resulting in the loss of critical wildlife cover. The purpose of the current study was to evaluate the potential response of ring-necked pheasant (Phasianus colchicus) to future changes in land use. We selected four land uses that may potentially occur on CRP lands being converted back to agriculture: 1) season-long grazing, 2) hay land, 3) no-till corn (Zea mays), and 4) no-till barley (Hordeum spp.). As a control, 32 ha of CRP grasslands were left idle to mimic land in CRP. Using data from 193 ring-necked pheasant nests, we found nest density was different among land uses (P &amp;lt; 0.01). The control and season-long grazing treatment did not differ from one another (P = 0.42; 0.43 and 0.24 nests-ha-1, respectively), but both had greater nest densities than no-till corn and no-till barley treatments (P &amp;lt; 0.01; 0.04 and 0.03 nests-ha-1, respectively). The nest density in the hay treatment (0.16 ± 0.04 nests-ha-1) and control were different (P = 0.02). Ring-necked pheasant nest site selection was influenced by visual obstruction and vegetation height as hens chose nest sites with taller vertical structure and vegetation heights. Daily survival rates of nests were not influenced by treatment but did increase with greater visual obstruction, increased as a nest aged and throughout the nesting season, and were negatively affected by precipitation events. Our results suggest that maintaining CRP-type grasslands will be beneficial for ring-necked pheasants because of the nesting cover they provide. However, the conversion of CRP to livestock production may be a viable option that provides nesting opportunities for ring-necked pheasant, given vertical structure is available for nesting hens. © 2017 The Society for Range Management. Published by Elsevier Inc. All rights reserved.</t>
  </si>
  <si>
    <t>Impact of weather variation on feeding behaviour, nestling growth and brood survival in Wrynecks Jynx torquilla</t>
  </si>
  <si>
    <t>While habitat destruction is thought to be the most important reason for the decline of the Wryneck Jynx torquilla throughout Europe, it has been hypothesised that weather factors may also play a crucial role. We studied the impact of variations in ambient temperature and rainfall on feeding behaviour, nestling growth and daily brood survival probabilities in a population from the Swiss Alps. We recorded the frequency of food provisioning and measured nestlings' growth on 6 days at 17 nests, and monitored the success of 181 broods from 2002 to 2006. The mean feeding frequency was 7.9 feedings per hour, and increased with temperature and with nestling age. Changes of body mass, tarsus length and of the 8th primary feather were not strongly influenced by temperature and rainfall. Body growth was negatively influenced by the initial size of the different body measures towards the end of the growing phase of the corresponding body measure, pointing towards compensatory growth. Daily brood survival probabilities declined in the course of the season and with increasing rainfall, and they increased with increasing temperature and with increasing nestling age. Our findings highlight that the effects of adverse weather on feeding behaviour, nestling growth and nest survival in Wrynecks are complex, as they alter with the age of the nestlings and possibly with the duration of the adverse weather events. © Dt. Ornithologen-Gesellschaft e.V. 2008.</t>
  </si>
  <si>
    <t>Reproductive success of bald eagles (Haliaeetus leucocephalus) and its association with habitat or landscape features and weather in southeast Alaska</t>
  </si>
  <si>
    <t>Canadian Journal of Zoology</t>
  </si>
  <si>
    <t>Long-term data were collected on nesting bald eagles in three areas in southeast Alaska. The average density of active nests was among the highest recorded, but nest productivity and success were similar to values in other areas. Nest productivity was associated with several habitat or landscape features, each of which could be related to the availability of prey in the early spring during egg laying and incubation. klf (Copyright applies to all Abstracts.)</t>
  </si>
  <si>
    <t>Tufted puffin reproduction reveals ocean climate variability</t>
  </si>
  <si>
    <t>Proceedings of the National Academy of Sciences of the United States of America</t>
  </si>
  <si>
    <t>Anomalously warm sea-surface temperatures (SSTs) are associated with interannual and decadal variability as well as with long-term climate changes indicative of global warming. Such oscillations could precipitate changes in a variety of oceanic processes to affect marine species worldwide. As global temperatures continue to rise, it will be critically important to be able to predict the effects of such changes on species' abundance, distribution, and ecological relationships so as to identify vulnerable populations. Off the coast of British Columbia, warm SSTs have persisted through the last two decades. Based on 16 years of reproductive data collected between 1975 and 2002, we show that the extreme variation in reproductive performance exhibited by tufted puffins (Fratercula cirrhata) was related to changes in SST both within and among seasons. Especially warm SSTs corresponded with drastically decreased growth rates and fledging success of puffin nestlings. Puffins may partially compensate for within-season changes associated with SST by adjusting their breeding phenology, yet our data also suggest that they are highly vulnerable to the effects of climate change at this site and may serve as a valuable indicator of biological change in the North Pacific. Further and prolonged increases in ocean temperature could make Triangle Island, which contains the largest tufted puffin colony in Canada, unsuitable as a breeding site for this species.</t>
  </si>
  <si>
    <t>Breeding success of short-tailed shearwaters following extreme environmental conditions</t>
  </si>
  <si>
    <t>MARINE ECOLOGY PROGRESS SERIES</t>
  </si>
  <si>
    <t>Extreme weather events are increasing in frequency, causing disruption to global ecosystems. Large-scale events, such as marine heatwaves, can impact the abundance of prey species, which consequently influences the behaviour of top-level predators such as seabirds. The short-tailed shearwater Ardenna tenuirostris is a trans-hemispheric migrant with typically a highly synchronous breeding phenology. Here, we document short-tailed shearwater colony occupancy for the period 2011-2020, with a focussed assessment of their breeding success in the 2019/20 season, which followed a marine heatwave that occurred predominantly in the nonbreeding areas in the North Pacific Ocean. The return of the birds to their breeding colonies in southeast Australia was delayed by approximately 2 wk in October 2019, and the subsequent breeding season ended with only 34% breeding success, with nest abandonment beginning in the incubation phase. A North Pacific marine heatwave in 2019, associated with a mass mortality event of over 9000 birds ('wreck' of beach-washed birds), led to reduced adult body condition and carry-over effects causing egg and chick failures during the subsequent breeding season. Localised weather events (i.e. flooding of burrows due to heavy rainfall) also influenced breeding outcomes of the 2019/20 season. The relationship between wreck events and seabird breeding ecology is an understudied area, partly due to the difficulties around quantifying the scale of wrecks. Our study is one of few that documents poor seabird breeding success following the extreme marine conditions which have persisted in the North Pacific Ocean since 2013.</t>
  </si>
  <si>
    <t>Tree swallow (Tachycineta bicolor) nest success and nestling growth near oil sands mining operations in northeastern Alberta, Canada</t>
  </si>
  <si>
    <t>Industrial development and contaminant exposure may affect reproductive success and food quality for birds. Tree Swallows (Tachycineta bicolor (Vieillot, 1808)) nesting near oil sands development in northern Alberta (Canada) potentially experience elevated environmental stressors that could influence reproduction. We measured reproductive and growth endpoints in Tree Swallows, predicting reduced reproductive success and nestling growth near oil sands operations compared with reference sites. We also identified the invertebrate prey in the stomach contents of nestlings to understand variability in the diet and its potential effect on growth and survival of nestlings. From 2012 to 2015, clutch initiation varied among years but was not influenced by proximity to oil sands operations. Hatching and fledging success decreased in response to increased precipitation, regardless of location. Measurements of nestling growth reflected the variation associated with nestling sex and possibly asynchronous hatching. The composition of the nestling diet was significantly different; birds near oil sands development consumed Odonata, whereas birds at reference sites consumed Ephemeroptera. Nestlings from all sites consumed relatively high quantities of terrestrial insects. Our results demonstrate that factors such as weather conditions, diet, hatching order, and nestling sex are important when interpreting the potential effects of oil sands development on nest success and nestling growth. © 2019, Canadian Science Publishing. All rights reserved.</t>
  </si>
  <si>
    <t>Weather and predation pressure: The case of the Red-backed Shrike (Lanius collurio)</t>
  </si>
  <si>
    <t>Acta Zoologica Academiae Scientiarum Hungaricae</t>
  </si>
  <si>
    <t>Breeding success in birds is seriously affected by predation, although behaviourist extent can be modified by the weather, its mechanisms are not well understood. Analysis of the breeding success of Red-backed Shrikes (Lanius collurio) in eastern Poland, which has a temperate transitional climate, showed that predation did indeed increase significantly during periods of prolonged rainfall, but that air temperature and wind speed did not affect predation significantly. As insects become less active during rainy weather, predators like Magpies (Pica pica) and Jays (Garrulus glandarius), which frequently consume such prey, then have to switch to birds' eggs and nestlings as sources of food. In recent years, less rain has been falling in this part of Poland in the summer, so one can anticipate a higher level of breeding success in the Red-backed Shrike, if the numbers of potential predators do not increase equally quickly. © 2019, Hungarian Natural History Museum.</t>
  </si>
  <si>
    <t>Agricultural intensification, rainfall patterns, and large waterbird breeding success in the extensively cultivated landscape of Uttar Pradesh, India</t>
  </si>
  <si>
    <t>In countries with high human populations, using agricultural areas as multifunctional systems to produce food for humans and retain wildlife may be an efficient conservation strategy for many species. Inclusion of natural habitat and species requirements on agricultural landscapes explicitly into planning processes are precluded by lack of information on drivers of species persistence. Climate change is an additional emerging complexity, and adaptation plans for agricultural landscapes are biased towards intensification to secure long-range food production. I examine the conservation potential of an agricultural landscape in two districts of Uttar Pradesh, north India where agricultural intensification and altered rainfall patterns are predicted to occur. I assess stressors affecting breeding success over eight years of two large waterbirds of conservation concern - Sarus Cranes and Black-necked Storks. Both species had high breeding success that improved with total rainfall and more wetlands in breeding territories. Agricultural and township expansions deteriorated territory quality and reduced breeding success. Sarus Crane populations were predicted to decline relatively rapidly if development activities continued to displace breeding pairs. Black-necked Storks appeared resilient over the long-term notwithstanding reduced breeding success in low-rainfall years. Waterbird nesting habitats (wetlands and trees) were retained in Uttar Pradesh as community lands by villages and by state government via legal provisions suggesting the utility of multiple conservation approaches. Incorporating species requirements explicitly, alongside traditional land use practices conducive for habitat conservation, into adaptation planning and conservation policy will be necessary to retain long-term multifunctionality of such agricultural landscapes. © 2011 Elsevier Ltd.</t>
  </si>
  <si>
    <t>Trends in Black Swift (Cypseloides niger) breeding phenology, productivity, and nest success in southwest Colorado, 1996-2017</t>
  </si>
  <si>
    <t>This study presents breeding phenology, fledgling production, and nest success for the Black Swift (Cypseloides niger) over a 22 year period at the Box Canyon colony, Ouray, Colorado, USA. Data were collected annually from 1996 to 2017 by direct observation from arrival of the birds at the nesting colony until all adults and fledglings departed. We documented dates of first arrival, laying, incubation onset, hatching, and fledging, and determined the intervals from arrival to laying, laying to incubation, length of incubation, and length of the nestling period in each year. Breeding events followed each other closely and showed little chronological change throughout the study. We identified a negative trend in the number of nest attempts and fledged Black Swift chicks over time but found no relationship between these 2 trends and the environmental factors of summer temperature, summer precipitation, or tourist visitation. The Mayfield estimate of nest success for all nest attempts was 77.5%. There was unexplained annual variation in nest success, but the trend in nest success remained static, with no correlation between nest success and temperature, precipitation, or tourist visitation. This study represents the largest dataset and longest-duration investigation into the breeding phenology and nest success of the Black Swift. © 2020 Wilson Ornithological Society. All rights reserved.</t>
  </si>
  <si>
    <t>REVUE D ECOLOGIE-LA TERRE ET LA VIE</t>
  </si>
  <si>
    <t>The number of Little Egrets breeding in the Camargue was determined annually from 1968 to 1992. The population shows no statistically significant trend over the 25 years, but fluctuated several times by a factor of 2 from one year to the next. Multiple regression analysis revealed that the number of Egrets remaining in the Camargue after the breeding season and surviving the winter in this area explains 53 % of the year to year variation in population size. The number of overwintering birds, in turn, depends on the number of young fledged during the preceding summer and winter severity, the two variables explaining 50 % of the variation. After an important decline in 1985, due to a hard winter which caused the death of many Egrets (January 1985), the population recovered quickly. Fewer birds nested and favourable hydrological conditions due to winter-spring rainfall increased breeding success. Several consecutive winters were also mild and this allowed many Egrets to survive in the Camargue until the next breeding season.</t>
  </si>
  <si>
    <t>The role of weather in mediating the effect of mercury exposure on reproductive success in tree swallows</t>
  </si>
  <si>
    <t>Ecotoxicology</t>
  </si>
  <si>
    <t>Mercury is a heavy metal that has contaminated countless ecosystems throughout the world. A large body of literature has documented reproductive, physiological, and behavioral impairments associated with mercury exposure in laboratory settings, but whether and how such effects are manifest in free-living populations remains poorly understood. The purpose of this study was to evaluate whether tree swallow (Tachycineta bicolor) breeding success at a site with high mercury exposure varied with ambient temperature or precipitation at various points in the breeding cycle. Tree swallows nesting along the South River had significantly elevated blood total mercury (mean ± SE: 3.03 ± 0.15 μg/g) compared to swallows breeding on reference sites (mean ± SE: 0.16 ± 0.005 μg/g). These high levels of mercury were associated with reduced hatching and fledging success, and contaminated birds produced approximately one less fledgling per nest than their reference counterparts. The magnitude of this difference was weather-dependent: unusually high ambient temperatures encountered early in the nestling period were associated with reduced reproductive output in contaminated, but not in reference, birds. In contrast, little effect of mercury on success of nestlings was observed when temperatures were cooler, and precipitation also had no detectable interaction with mercury. These results provide insight into mechanisms underlying reproductive effects of mercury. In addition, these findings underscore the importance of considering variable environmental conditions when assessing effects of contaminants on free-living wildlife. In particular, projections about the effects of global climate change on ecotoxicological impacts must take into account the kinds of weather-mediated effect demonstrated here. © 2011 Springer Science+Business Media, LLC.</t>
  </si>
  <si>
    <t>Microsite selection and survival of greater sage-grouse nests in south-central Wyoming.</t>
  </si>
  <si>
    <t>Demography of takahe (Porphyrio hochstetteri) in fiordland: Environmental factors and management affect survival and breeding success</t>
  </si>
  <si>
    <t>New Zealand Journal of Ecology</t>
  </si>
  <si>
    <t>The last remaining natural population of the critically endangered takahe (Porphyrio hochstetteri) is confined to the Murchison Mountains in Fiordland, New Zealand. This mainland population contains about half of the c. 300 remaining takahe and benefits from one of the costliest recovery programmes in the country. Management activities include deer culling, stoat trapping, nest manipulation (e.g. removal of infertile eggs) and captive rearing of chicks. To determine what effect this intensive management has had on the recovery of the Fiordland takahe population, we modelled 25 years of survival and breeding success data as a function of environmental factors (e.g. precipitation, temperature, beech seedfall, tussock flowering) and specific management activities (egg manipulation, captive rearing, stoat control). Annual adult survival, estimated at 78% (credibility interval (CI) = 75-81%), is significantly increased to 85% (76-92% CI) in presence of stoat trapping, but is still low relative to introduced takahe populations on offshore islands and other large New Zealand bird species in predator-free environments. This suggests that the harsh environment of Fiordland may be suboptimal habitat in terms of survival for takahe. On the other hand, reproductive output in Fiordland is similar to that for introduced island populations, and is improved even further by management. Number of chicks per pair fledged with nest manipulation and captive rearing is estimated at 0.66 compared with 0.43 in the absence of nest management. The difference is explained mainly by low fledging success in the wild, especially for double clutches, which justifies the practice of removing one of two viable eggs and transferring it to a captive-rearing facility. The results of this study indicate that current management activities such as stoat trapping and captive rearing have a strong positive effect on population growth of the Murchison Mountains takahe population. © New Zealand Ecological Society.</t>
  </si>
  <si>
    <t>The ecological basis of unusual sex roles in reverse-dichromatic eclectus parrots</t>
  </si>
  <si>
    <t>In theory, sex roles are determined by the potential reproductive rates of males and females, which are constrained by parental investment. Thus the sex that invests least in offspring typically competes most for matings and is most subject to sexual selection, whereas the caring sex is most choosy when selecting mates. Here I show that ecological variables, rather than patterns of parental investment, can be influential in determining sex roles and the direction of sexual selection. In the polyandrous eclectus parrot, Eclectus roratus, both sexes care for offspring, yet despite traditional parental care patterns, both sexes are competitive and both are subject to sexual selection. The bright red and blue females compete for scarce nest hollows and the iridescent green males for mates. Using data from an 8-year field study, I show that the major ecological variable driving this system is nest hollow quality. Females with drier hollows had higher reproductive success and more males feeding and competing to mate with them. Females with nest hollows that were prone to flooding had fewer fledglings in years with higher dry season rainfall, confirming that hollow quality was a primary determinant of reproductive success. Comparisons of females before and after they changed hollows during the study provided further evidence that these trends were due to hollow quality rather than individual female quality. Thus competition for a scarce resource can lead to high variance in female reproductive success, and promote competition for high-quality mates among males. © 2008 The Association for the Study of Animal Behaviour.</t>
  </si>
  <si>
    <t>Sensitivity of nesting great egrets (Ardea alba) and white ibises (Eudocimus albus) to reduced prey availability</t>
  </si>
  <si>
    <t>Life-history theory suggests that long-lived bird species will adjust their nesting effort according to current conditions to balance the costs and benefits of current reproduction with their long-term needs for survival and future reproduction. However, responses to the same habitat conditions may differ between species, even within the same ecosystem, to produce different nesting and population patterns. We examined differences in the nesting ecology of two sympatric wading species, Great Egret (Ardea alba) and White Ibis (Eudocimus albus), between years with high (2006) and below-average (2007) prey availability in the Florida Everglades. Clutch size of White Ibises decreased by ∼19% from 2006 to 2007, whereas Great Egret clutch size remained constant. Model selection identified rain, water depth, Julian date, year, and prey biomass as parameters that most influenced daily survival rates (DSR) of White Ibis nests, whereas nest stage, region, Julian date, water depth, and the quadratic form of water recession rate most influenced Great Egret nest DSR. Daily survival for both Great Egret and Whites Ibis nests was higher in 2006 (DSR = 0.992 and 0.999, respectively) than in 2007 (DSR = 0.981 and 0.979). Our results support the hypothesis that prey availability and hydrological factors play crucial roles in regulating populations of wading birds in the Florida Everglades. Results also demonstrated that White Ibis reproduction was more sensitive to changes in hydrological conditions and prey availability than Great Egret reproduction. © 2010 by The American Ornithologists' Union. All rights reserved.</t>
  </si>
  <si>
    <t>Impact of supplementary feeding on reproductive success of white storks</t>
  </si>
  <si>
    <t>European white stork (Ciconia ciconia) populations have been object to several conservation measures such as reintroduction programs, habitat improvement or supplementary feeding in the last decades. Although recent white stork censuses revealed an upward trend of most of the western populations, evaluations of the relative importance of certain conservation measures are still scarce or even lacking. In our study we analyzed the effect of supplementary feeding on the reproductive success of white storks in conjunction with other factors such as weather or nest site characteristics. We present data of 569 breeding events at 80 different nest sites located in variable distances to an artificial feeding site at Affenberg Salem (south-western Germany) collected from 1990-2012. A multilevel Poisson regression revealed that in our study population (1) reproductive success was negatively affected by monthly precipitation in April, May and June, (2) pairs breeding on power poles had a lower reproductive success than pairs breeding on platforms or trees and (3) reproductive success was significantly higher in pairs breeding in close distance to the feeding site. The number of fledglings per nest decreased by 8% per kilometer distance to the feeding site. Our data suggest that supplementary feeding increases fledgling populations which may be a tool to attenuate population losses caused by factors such as habitat deterioration or unfavorable conditions in wintering habitats. © 2014 Hilgartner et al.</t>
  </si>
  <si>
    <t>Greater sage-grouse nesting habitat selection and success in Wyoming</t>
  </si>
  <si>
    <t>Studies in Avian Biology</t>
  </si>
  <si>
    <t>Snowy Plovers (Charadrius alexandrinus) and Wilson's Plovers (Charadrius wilsonia) are two shorebird species that nest along the Gulf Coast of the US. We modeled the daily nest survival of both species in the lower Laguna Madre region of Texas during the 2003 and 2004 breeding seasons as a function of nest age, year, day in the season, maximum daily temperature, daily precipitation, and habitat features at three spatial scales (microhabitat, a 25-m radius of the nest, and landscape). Daily survival of Snowy Plover nests increased with nest age (β^&lt;sub&gt;Age&lt;/sub&gt; = 0.03, 95% confidence limits were -0.01, 0.07, on a logit scale), but did not vary between years. Nests inland had substantially lower daily survival than nests on the coast (β^&lt;sub&gt;Inland&lt;/sub&gt; = -0.18, 95% confidence limits were -1.03, 0.67, on a logit scale). The presence of a conspicuous object at the nest site increased daily nest survival. A quadratic trend occurred on the coefficient of variation (CV) for low vegetation (CV used as an index of low vegetation spatial heterogeneity) at the 25-m scale for Snowy Plover nests. Daily nest survival of Wilson's Plovers was best explained by a combination of two habitat metrics at the microhabitat scale. Less vegetation at the immediate nest site increased daily survival (β^&lt;sub&gt;Veg&lt;/sub&gt; = -1.35, 95% confidence limits were -2.28, -0.42, on a logit scale) while daily nest survival was higher for nests with lower contagion at the microhabitat scale (β^Contagion = -0.87, 95% confidence limits were -1.65, -0.10, on a logit scale). We found no evidence for yearly differences or an effect of weather on the daily nest survival of either species. Our results illustrate the role that selected habitat features play in the nest survival of Snowy and Wilson's plovers and further our understanding of their nesting ecology. We anticipate that our results will assist in the identification and protection of habitats critical to breeding populations of these and other shorebird species. (English) [ABSTRACT FROM AUTHOR] Copyright of Studies in Avian Biology is the property of University of California Press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</si>
  <si>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Direct and indirect effects of regional and local climatic factors on trophic interactions in the Arctic tundra</t>
  </si>
  <si>
    <t>Journal of Animal Ecology</t>
  </si>
  <si>
    <t>Climate change can impact ecosystems by reshaping the dynamics of resource exploitation for predators and their prey. Alterations of these pathways could be especially intense in ecosystems characterized by a simple trophic structure and rapid warming trends, such as in the Arctic. However, quantifying the multiple direct and indirect pathways through which climate change is likely to alter trophic interactions and their relative strength remains a challenge. Here, we aim to identify direct and indirect causal mechanisms driven by climate affecting predator–prey interactions of species sharing a tundra food web. We based our study on relationships between one Arctic predator (Arctic fox) and its two main prey – lemmings (preferred prey) and snow geese (alternate prey) – which are exposed to variable local and regional climatic factors across years. We used a combination of models mapping multiple causal links among key variables derived from a long-term dataset (21 years). We obtained several possible scenarios linking regional climate factors (Arctic oscillations) and local temperature and precipitation to the breeding of species. Our results suggest that both regional and local climate factors have direct and indirect impacts on the breeding of foxes and geese. Local climate showed a positive causal link with goose nesting success, while both regional and local climate displayed contrasted effects on the proportion of fox breeding. We found no impact of climate on lemming abundance. We observed positive relationships between lemming, fox and goose reproduction highlighting numerical and functional responses of fox to the variability of lemming abundance. Our study measures causal links and strength of interactions in a food web, quantifying both numerical response of a predator and apparent interactions between its two main prey. These results improve our understanding of the complex effects of climate on predator–prey interactions and our capacity to anticipate food web response to ongoing climate change. © 2019 The Authors. Journal of Animal Ecology © 2019 British Ecological Society</t>
  </si>
  <si>
    <t>Wildlife Biology</t>
  </si>
  <si>
    <t>Effect of weather conditions on nestling survival in the White Stork Ciconia ciconia population</t>
  </si>
  <si>
    <t>Ethology Ecology and Evolution</t>
  </si>
  <si>
    <t>This paper presents how weather conditions affect survival of White Stork Ciconia ciconia nestlings. The main goals of the present study are to determine the most critical period for breeding output and to investigate factors influencing reproductive efficiency of the studied population. The mean survival rate of the whole nesting period (day 52 from egg laying to day 20 of nestlings life) was 0.668 (95% CL: 0.611-0.725) and did not differ between years, while mean survival for incubation period was 0.721 (0.681-0.761) and also was not significantly different between years. Finally, the mean survival rate for the nestling period was 0.903 (0.869-0.937) and was different between years. This study shows that the most critical period in the breeding cycle is the time of incubation and the first days of the nestling's life. The period from egg laying to day 20 of the nestling's life is characterised by the highest hazard ratio. Finally, the study demonstrates that, like many other bird species, White Stork nestlings' survival is affected by low temperatures and a high level of precipitation. © 2012 Copyright 2012 Dipartimento di Biologia Evoluzionistica dell'Universit, Firenze, Italia.</t>
  </si>
  <si>
    <t>Comparative reproductive biology of Middle Spotted Woodpeckers Dendrocopos medius and Great Spotted Woodpeckers D. major in a riverine forest</t>
  </si>
  <si>
    <t>Capsule: Nest success rate and survival probabilities of individuals are the same but clutch size and fledgling number are higher in the smaller species. Aims: To examine the relevant reproductive features of the two co-occurring congeneric woodpecker species, to analyse the effect of timing of breeding, clutch size and weather conditions on survival time of nestlings, and to discuss life-history traits in relation to potential food limitation and mortality. Results: The start of the breeding season in both species was highly synchronized and did not vary among species and years. Middle Spotted Woodpeckers laid larger clutches (6.5 eggs) than Great Spotted Woodpeckers (5.4 eggs). Daily survival rates and the proportion of nestlings that were surveyed to the end of the nesting period, as well as nesting success (83% and 88%, respectively) did not vary between species. Middle Spotted Woodpeckers reared more fledglings in successful nests (4.5 fledglings) compared to Great Spotted Woodpeckers (4.0 fledglings). In both species the survival time of nestlings was negatively correlated with the timing of laying and the amount of rainfall during the incubation and nestling phase. Moreover, among Great Spotted Woodpeckers there was positive correlation between the survival time and the clutch size. Conclusion: The highly synchronized start of the breeding season is probably conditioned by food availability. The difference between annual fecundity was a likely result of the higher winter mortality of Middle Spotted Woodpeckers. The survival time of nestlings was determined to a large degree by the timing of breeding and weather conditions. The west-east climate gradient is a plausible factor for the explanation of the longitudinal differences regarding the annual fecundity of European Middle Spotted Woodpecker populations. © 2006 British Trust for Ornithology.</t>
  </si>
  <si>
    <t>Reproduction of the Middle Spotted Woodpecker Dendrocopos medius in the Nerussa-Desna woodland, SW Russia, with particular reference to habitat fragmentation, weather conditions and food supply</t>
  </si>
  <si>
    <t>ARDEA</t>
  </si>
  <si>
    <t>The Nerussa-Desna woodland (south-western Russia) is one of the core areas for the Middle Spotted Woodpecker Dendrocopos medius, a habitat specialist restricted mainly to mature oak forests. Recent studies have shown a lower breeding density of the species in fragmented compared with continuous habitat. To evaluate reproduction as a possible mechanism underlying the fragmentation effects, we studied reproductive performance of the specie, in both continuous habitat and fragmented habitat in the forested landscapes of the Nerussa-Desna woodland. During 1997-2001, annual variation of reproductive indices in both continuous and fragmented habitat was insignificant. None of the indices was significantly lower in fragmented habitat though nestling losses were significantly higher in fragments. Timing of breeding in 2000 was later in fragmented than continuous habitat, probably due to differential landscape phenology. in fragments, fledging success in a year was inversely related to the mean amount of rain. On the basis of individual pairs, fledgling production also correlated significantly and negatively with the amount of rain during the nestling period in food-poor fragments only In 19992001, abundance of Lepidoptera larvae, main food for the Middle Spotted Woodpecker during nestling phase, varied significantly in continuous habitat, whereas in fragmented habitat the patterns of variation differed between fragments. No significant correlation was found between larval density and reproductive performance of individual pairs in either habitat. Large oak density a habitat feature related to potential food abundance, was higher in fragments than in continuous habitat but was not related to the reproductive performance. The lower larval density within some territories in fragments as opposed to continuous habitat is likely to explain higher nestling mortality in fragmented compared to continuous habitat. Generally, we found little evidence for lowered reproductive performance in relation to fragmentation. Therefore, this seems unlikely to be responsible for the fragmentation-sensitive patterns of density.</t>
  </si>
  <si>
    <t>Investigating the influence of local weather conditions and alternative prey composition on the breeding performance of urban Eurasian Kestrels Falco tinnunculus</t>
  </si>
  <si>
    <t>BIRD STUDY</t>
  </si>
  <si>
    <t>Capsule: Local weather conditions, but not a city-associated diet composition, influence the breeding performance of urban Eurasian Kestrels Falco tinnunculus.Aims: We aim to explore the impact of diet composition, specifically a high proportion of avian prey, on the breeding performance of urban Eurasian Kestrels under different weather conditions.Methods: The Eurasian Kestrel is known to exploit cities and occurs in the study area of Vienna, Austria (415km(2)) at high breeding densities of 89-122 pairs/100km(2). Unlike their rural conspecifics which specialize in voles, urban Kestrels are generalists, preying on passerines and mammals, but also reptiles and insects. We explore this alternative diet through pellet analyses along an urbanization gradient over a 5-year period and link diet to reproductive performance, taking local weather conditions into account.Results: Our results showed that weather had a greater influence on breeding performance than did diet. Warm and dry weather during the arrival and courtship period was correlated with earlier egg-laying, higher nestling survival and an overall higher breeding success. Dry winters increased the proportion of mammalian prey, whereas low temperatures and high rainfall during the nestling phase increased the proportion of avian prey. Overall, a more diverse diet was also associated with higher rainfall, but only during the arrival and courtship period.Conclusion: Our research shows a stronger connection between breeding performance and weather conditions than between breeding performance and diet composition, although there may be indirect effects of weather on prey availability which augment the impact of diet on reproductive output in the Eurasian Kestrel.</t>
  </si>
  <si>
    <t>Precipitation and ectoparasitism reduce reproductive success in an arctic-nesting top-predator</t>
  </si>
  <si>
    <t>Scientific Reports</t>
  </si>
  <si>
    <t>Indirect impacts of climate change, mediated by new species interactions (including pathogens or parasites) will likely be key drivers of biodiversity reorganization. In addition, direct effects of extreme weather events remain understudied. Simultaneous investigation of the significance of ectoparasites on host populations and extreme weather events is lacking, especially in the Arctic. Here we document the consequences of recent black fly outbreaks and extreme precipitation events on the reproductive output of an arctic top predator, the peregrine falcon (Falco peregrinus tundrius) nesting at the northern range limit of ornithophilic black flies in Nunavut, Canada. Overall, black fly outbreaks and heavy rain reduced annual nestling survival by up to 30% and 50% respectively. High mortality caused by ectoparasites followed record-breaking spring snow precipitation, which likely increased stream discharge and nutrient runoff, two key parameters involved in growth and survival of black fly larvae. Using the RCP4.5 intermediate climate scenario run under the Canadian Global Climate Model, we anticipate a northward expansion of black fly distribution in Arctic regions. Our case study demonstrates that, in the context of climate change, extreme weather events can have substantial direct and indirect effects on reproductive output of an arctic top-predator population. © 2018 The Author(s).</t>
  </si>
  <si>
    <t>Winter and summer weather modulate the demography of wild turkeys at the northern edge of the species distribution</t>
  </si>
  <si>
    <t>Population Ecology</t>
  </si>
  <si>
    <t>Temperate species occupying habitats at the northern limit of their geographical distribution are limited by weather and climatic conditions. Such conditions often directly affect population dynamics, and thus, influence shifts in distribution via changes in demographic parameters. We examined this question by following three distinct populations of wild turkeys inhabiting areas exposed to a gradient of meteorological conditions at the northern limit of the species distribution. Four years of radio-telemetry on 181 birds and monitoring of 95 nests revealed that population demographics of wild turkeys were influenced by snow depth, winter temperature and summer rainfall. During winter, survival of turkeys decreased drastically when snow depth remained &gt;30 cm for &gt;10 days and also decreased as temperatures got colder. In the spring, snow persistence delayed nest initiation, whereas nest survival was negatively affected by rainfall. Our findings show that the effects of critical meteorological factors such as snow and temperature can be compounded when both reach the limit of a species tolerance simultaneously. © 2017, The Society of Population Ecology and Springer Japan KK.</t>
  </si>
  <si>
    <t>The influence of weather and parental provisioning on fledging success depends on nest box type in a cavity-nesting passerine, the Mountain Bluebird (Sialia currucoides)</t>
  </si>
  <si>
    <t>Both weather and parental care can influence avian reproductive success, yet few studies have investigated these 2 factors simultaneously. Examining these factors under a common framework is informative because they may interact to influence overall productivity; for example, weather could directly influence nestling survival or could act indirectly by influencing rates of provisioning. To tease apart these possibilities, we used piecewise structural equation modeling and path analysis to assess the relative influence of local weather (temperature and rainfall) and rates of provisioning on the fledging success of Mountain Bluebirds (Sialia currucoides) breeding in nest boxes. Both ambient temperature during the nestling period and provisioning rates influenced fledging success, but this finding was dependent on nest box entrance type. Bluebirds nesting in boxes with a hole-shaped entrance had higher overall fledging success than those using boxes with a slot-shaped entrance and exhibited a positive association between fledging success and provisioning rates but a negative association with temperature. Bluebirds nesting in boxes with a slot-shaped entrance experienced reduced fledging success, and success was only weakly associated with provisioning rates. Reduced fledging success for birds nesting in slot boxes may be due to increased exposure and higher susceptibility to stochastic events (e.g., storms), which may also mask any effects of parental effort on success rates. Based on these findings, we recommend the use of nest boxes with hole-shaped rather than slot-shaped entrances when managers and conservation groups establish new bluebird routes or replace existing boxes. © 2018 Wilson Ornithological Society. All rights reserved.</t>
  </si>
  <si>
    <t>Benefits and costs to plain-fronted thornbirds (Phacellodomus rufifrons) of interactions with avian nest associates</t>
  </si>
  <si>
    <t>From 1990 through 1993, I examined the interactions among a group of bird species in central Venezuela that use the multichambered stick nests of the Plain-fronted Thornbird (Phacellodomus rufifrons). Eleven species besides thornbirds, referred to as associates, used thornbird nests as nest sites and, in some cases, roost sites. During the 18-month study, 130 incidents of associates nesting in thornbird nests were recorded. More than 90% of thornbird territories observed for at least two breeding seasons (n = 33) had at least one associate nesting attempt. Four species accounted for over 86% of the attempts by associates: Cattle Tyrants (Machetornis rixosus). Stripe-backed Wrens (Campylorhynchus nuchalis), Saffron Finches (Sicalis flaveola), and Troupials (Icterus icterus). Sometimes thornbird and associate nesting attempts overlapped, taking place within the same nest in different chambers, or in different thornbird nests within a territory. Nine of 27 (33%) thornbird nesting attempts at the beginning of the 1991 breeding season overlapped associate attempts, and 5 of 26 (19%) overlapped in 1992. Nesting with associates involved benefits and costs for the thornbirds. In 1991, thornbird nesting attempts that overlapped Troupial nesting attempts were no more likely to succeed (33% successful, n = 6) than attempts with no associate overlap (28% successful, n = 18). Thornbird attempts that overlapped those of other species, however, were significantly more likely to succeed than attempts with no overlap (100% successful, n = 3). In 1992, patterns were similar (0% successful with Troupials, n = 2; 10% successful with no associates, n = 21; 33% successful with other associates, n = 3), although high thornbird nest mortality and small sample sizes precluded statistical analysis. Thornbird nesting attempts that overlapped two associate nesting attempts (n = 7, 1991 and 1992 combined) had a high success rate (71%). Rainfall in the month before fledging was positively associated with the number of fledglings produced in 1991, but not in 1992. Nest-guarding behavior by associates and enhanced mobbing of predators (demonstrated in predator-presentation experiments) were likely mechanisms of enhanced reproductive success when thornbirds nested with associates. Thornbirds often were treated with aggression by associates, and circumstantial evidence indicated that Troupials sometimes preyed on thornbird eggs and nestlings. Valuable nest sites may lead coexisting species to converge, rather than diverge, in their use of this resource.</t>
  </si>
  <si>
    <t>Weather Influences Multiple Components of Greater Prairie-Chicken Reproduction</t>
  </si>
  <si>
    <t>Interactive effects of environmental stress and inbreeding on reproductive traits in a wild bird population</t>
  </si>
  <si>
    <t>1. Conservation biologists are concerned about the interactive effects of environmental stress and inbreeding because such interactions could affect the dynamics and extinction risk of small and isolated populations, but few studies have tested for these interactions in nature. 2. We used data from the long-term population study of song sparrows Melospiza melodia on Mandarte Island to examine the joint effects of inbreeding and environmental stress on four fitness traits that are known to be affected by the inbreeding level of adult birds: hatching success, laying date, male mating success and fledgling survival. 3. We found that inbreeding depression interacted with environmental stress to reduce hatching success in the nests of inbred females during periods of rain. 4. For laying date, we found equivocal support for an interaction between parental inbreeding and environmental stress. In this case, however, inbred females experienced less inbreeding depression in more stressful, cooler years. 5. For two other traits, we found no evidence that the strength of inbreeding depression varied with environmental stress. First, mated males fathered fewer nests per season if inbred or if the ratio of males to females in the population was high, but inbreeding depression did not depend on sex ratio. Second, fledglings survived poorly during rainy periods and if their father was inbred, but the effects of paternal inbreeding and rain did not interact. 6. Thus, even for a single species, interactions between the inbreeding level and environmental stress may not occur in all traits affected by inbreeding depression, and interactions that do occur will not always act synergistically to further decrease fitness. © 2006 The Authors.</t>
  </si>
  <si>
    <t>Effects of severe weather on reproduction for sympatric songbirds in an alpine environment: Interactions of climate extremes influence nesting success</t>
  </si>
  <si>
    <t>We examined the impact of daily and severe multiday weather events on nest survival of Horned Larks (Eremophila alpestris) and Savannah Sparrows (Passerculus sandwichensis) breeding sympatrically in alpine habitat. The two species' thermal regimes varied. The breeding season of Horned Larks was similar to 2 degrees C colder and had more precipitation and more storms than that of Savannah Sparrows, which initiated laying 2 wk later. The breeding season of Savannah Sparrows was, on average, 27% shorter than that of Horned Larks. Overall daily nest survival (DNS) was similar for the two species, but Savannah Sparrows had more failure due to abandonment (33% of nests) than Horned Larks (10%). Using Program MARK and Akaike's Information Criterion model selection to evaluate effects of daily and cumulative temperature and precipitation on DNS, we found no direct effect of daily temperature on nest survival, but nest survival declined in colder years for both species. For Horned Larks, the top nest survival models included a decline in DNS with increasing nest age and number of storm events, and a temperature3storm interaction. Daily nest mortality (DNM) increased by 8-93 over background failure levels during cold storms (average similar to 5 degrees C), but there was little change in DNM during warmer storms (8 degrees C). For Savannah Sparrows, the top nest survival models included a negative influence of cumulative precipitation. The top model's predicted DNM was similar to 4.63higher after similar to 2 days of precipitation than following days without rain. Both species coped well with the range of daily temperatures and single days of precipitation typical of alpine habitats, but the earlier- breeding Horned Larks were more susceptible to storm events, whereas extended precipitation events most strongly affected Savannah Sparrow nest survival. The ability of these songbirds to persist in alpine habitats may depend partly on the proportion of `` cold'' and `` warm'' storm events in future alpine climates.</t>
  </si>
  <si>
    <t>Multiscale analysis of the effects of rainfall extremes on reproduction by an obligate riparian bird in urban and rural landscapes</t>
  </si>
  <si>
    <t>Headwater forests serve many ecological functions and may be particularly responsive to changes in climate and land use. Riparian birds can serve as indicators of changes in their associated ecosystems. Little known, however, are combined influences of climate and land use on riparian birds and riparian ecosystems. We examined multiscale associations between these environmental conditions and reproduction of the Louisiana Waterthrush (Seiurus motacilla), a riparian-obligate songbird that breeds in the eastern United States. Specifically, we measured variables at multiple spatial and temporal scales to model crucial components of individual fecundity, using an information-theoretic approach. We monitored 190 nests in 139 territories within 13 drainages from 2002 to 2005. Daily nest survival reached a maximum when mean rainfall was intermediate (3-10 mm day-1) during the nesting period. Nestling survival, by contrast, reached its maximum with high amounts of rainfall (&amp;gt;14 mm day-1). Nestling survival declined with increasing territory size and was lowest in areas that were far from clearcuts and fields (≥160 m) but were surrounded by large expanses of fields (≥40% within 1.75 km). Urban land uses surrounding drainages, proximity to edges, measures of food availability, differences among years, and timing of nesting had weak, if any, effects on Louisiana Waterthrush reproduction. These findings indicate that reproduction by this riparian obligate is negatively associated with (1) rainfall extremes and agricultural land use and (2) size of the territory defended by the male. © 2009 by The American Ornithologists' Union. All rights reserved.</t>
  </si>
  <si>
    <t>The effects of weather and reed management on nesting parameters of the Great Reed Warbler, Acrocephalus arundinaceus (Aves: Sylviidae)</t>
  </si>
  <si>
    <t>Ecologica Montenegrina</t>
  </si>
  <si>
    <t>Nesting parameters such as clutch size, hatching rate or nesting success have been extensively studied in birds in relation to biotic and abiotic factors. In this study we aimed to investigate the effects of air temperature, amount of precipitation, reed burning, and water depth (independent variables) on nest density, clutch size, hatching rate, and nesting success (dependent variables) of the Great Reed Warbler during a nine-year period. We found that neither the clutch size nor the hatching rate was influenced by any of the predictor variables. Nest density was positively influenced by the water depth, while the nesting success was negatively related to the amount of precipitation. Reed burning had no effect on any of the nesting parameters. Similarly, to our results, short-term studies reported a positive relationship between nest density and water depth, and a negative relationship between the nesting success and amount of precipitation, indicating that these two environmental variables generally influence the two nesting parameters. However, the impact of various reed management practices, such as harvesting or removal, on the nesting variables of the Great Reed Warbler needs further clarification. © 2016. All Rights Reserved.</t>
  </si>
  <si>
    <t>Effect of reed burning and precipitation on the breeding success of Great Reed Warbler, Acrocephalus arundinaceus, on a mining pond</t>
  </si>
  <si>
    <t>Turkish Journal of Zoology</t>
  </si>
  <si>
    <t>In this study, we present the effects of reed burning and precipitation on the breeding success of Great Reed Warblers on a mining pond (2008-2011). Breeding success, i.e. the probability that an egg would produce a fedgling, was 0.43. Clutch survival was lowest in 2010, due to the precipitation and high water level during the season. Breeding success was higher in the second half of the breeding season, although in 2008 and 2011 precipitation was also higher in the second half than in the first half of the breeding season. During the first half of the breeding season, daily egg and nestling survival did not differ. However, in the second half of the breeding season, daily egg survival was higher than daily chick survival. In years when reed was burned, breeding density varied between 7.7 and 12.3 pairs ha-1, which was not significantly lower than in years when reed was not managed (average: 13.2 pairs ha-1). Despite the availability of fresh reed in large areas, birds placed their nests mainly in mixed reed stands. Breeding success in fresh and mixed reed did not differ. Generally, breeding success and density were not affected by reed burning, but water level affected breeding success and density. © TÜBİTAK.</t>
  </si>
  <si>
    <t>Multi-state, multi-stage modeling of nest-success suggests interaction between weather and land-use</t>
  </si>
  <si>
    <t>Many factors may affect daily nest survival. We present a novel multi-state, multi-stage model to estimate daily survival for each nest stage, daily hatching probability and probability that a failed nest died during a specific stage when stage of failure is unknown. The model does not require that hatching date be known. We used data from a large citizen science dataset to demonstrate the application of this approach, exploring the impact of laying dates, weather conditions, conserved soil moisture, soil carbon, habitat type and urbanization on failure rates of common blackbird (Turdus merula) nests. Models selected and estimates of nest success were similar to those of the simpler logistic exposure method, but accounted for additional uncertainty. Simulations suggest the multi-state approach performs better when incubation mortality is affected by nest age, but not when incubation mortality is assumed constant. Both approaches worked best when date of incubation initiation was known for all nests first visited during the incubation stage. Daily blackbird survival probabilities were higher in human rural habitat than in urban or countryside habitats supporting the hypothesis that these intermediate habitats offer a better balance between low food availability in urban areas and high predation rates in the wider countryside. Nest success was influenced more by recent precipitation in urban habitats, but by a longer-term measure of water availability, soil moisture, in non-human dominated habitats, indicating that climatic change is likely to alter relationships between habitat and breeding success (and their temporal scale) by influencing the trade-off between food availability and predation rates. The multi-state, multi-stage model developed here may be helpful to other researchers modelling ecological processes in which transition probabilities between multiple stages are of interest. © 2016 by the Ecological Society of America.</t>
  </si>
  <si>
    <t>Does researcher activity impact nest survival of sharp-tailed grouse?</t>
  </si>
  <si>
    <t>Influence of rainfall on timing and success of reproduction in Marabou Storks Leptoptilos crumeniferus</t>
  </si>
  <si>
    <t>A decline in breeding success with later laying dates throughout a nesting season is a widespread phenomenon in species living in environments with distinct seasonality, with evidence that some environmental correlate of timing is at least partly responsible in many species. This correlate is often thought to be food availability, which is often related to climatic factors; however, few studies have examined the role of climate. We studied a breeding colony of Marabou Storks Leptoptilos crumeniferus in Southern Africa over five breeding seasons. Timing of breeding was related to rainfall preceding the breeding season. Fecundity (chicks fledged per nest) declined through each season. The probability of an individual hatchling fledging was influenced by rainfall during the hatchling period, temperature during the hatchling period and laying date, three variables that were strongly intercorrelated. To disentangle the three effects, inter-annual variation in each was compared with the large inter-annual variation in breeding success, with rainfall providing the greatest explanatory power. Rainfall, which tends to increase through the breeding season, seems to be at least partly responsible for the seasonal decline in breeding success. We were unable to find evidence for the influence of other factors, such as colony size and nest re-use, known to affect nest success in this and other colonial breeding storks. © 2009 The Authors.</t>
  </si>
  <si>
    <t>Environmental correlates of nesting success in red-shouldered hawks</t>
  </si>
  <si>
    <t>We evaluated the influence of weather on reproduction of the Red-shouldered Hawk (Buteo lineatus) in an agricultural landscape in south-central Florida where we found relatively high densities of successfully nesting hawks. We used a generalized linear modeling approach within an information-theoretic framework to examine the influence of total rainfall, rainfall frequency, and temperature on the timing of nesting, nesting success, and productivity of hawks during 1995-2000. The best models indicated an influence of rainfall frequency and laying period on hawk reproduction. During years with less frequent rainfall in the summer and fall months prior to the beginning of the breeding season, fewer pairs attempted to nest, and hawks nested later and had smaller clutch sizes and lower productivity. Hawks that nested later in the breeding season had lower hatching success and lower overall nest success. Although Red-shouldered Hawks are generally reported to inhabit forested landscapes throughout their range, a common feature seems to be a dependence on wetlands and riparian habitat for foraging. We propose that the proportion of wetlands throughout the landscape is a unique aspect of south-central Florida that may allow for persistence of unusually high numbers of hawks (Copyright applies to all Abstracts.)</t>
  </si>
  <si>
    <t>The invasive parasitic fly Philornis downsi is threatening Little Vermilion Flycatchers on the Galápagos Islands [La mouche vampire aviaire Philornis downsi menace la moucherolle des Galápagos]</t>
  </si>
  <si>
    <t>Populations of several species of birds endemic to the Galápagos Islands have declined during recent decades, including endemic Little Vermilion Flycatchers (Pyrocephalus nanus). Understanding the reasons for the low breeding success of this species is a prerequisite for developing efficient conservation strategies. Studies of sympatric Darwin’s finches suggest two potential reasons: parasitism by the invasive parasitic fly Philornis downsi and extreme climatic events. We investigated the role of each in the breeding success of Little Vermilion Flycatchers during three breeding seasons in the agricultural zone of Isabela Island. We found that Little Vermilion Flycatchers were severely affected by P. downsi, depending on the time of breeding. Nest success was high early in the breeding season (60% were successful) when rates of P. downsi prevalence and intensity were low, but nest success was zero and all nests were infested later in the breeding season. Philornis downsi prevalence and intensity increased with increasing temperature. Both low and high levels of rainfall had a negative effect on nest survival. A parasite removal experiment using insecticide confirmed the detrimental effect of the invasive parasite; nests infested with P. downsi had significantly lower nest success than treated nests. Injection of insecticide into nest bases can be an efficient short-term way to increase the nesting success of Little Vermilion Flycatchers, but finding long-term measures to control the P. downsi population is of utmost importance. © 2022 by the author(s). Published here under license by the Resilience Alliance.</t>
  </si>
  <si>
    <t>Factors affecting nest survival of greater sage-grouse in northcentral Montana</t>
  </si>
  <si>
    <t>We studied greater sage-grouse (Centrocercus urophasianus) in northcentral Montana, USA, to examine the relationship between nest success and habitat conditions, environmental variables, and female sage-grouse characteristics. During 2001-2003, we radiomarked 243 female greater sage-grouse, monitored 287 nests, and measured 426 vegetation plots at 4 sites in a 3,200-km2 landscape. Nest survival varied with year, grass canopy cover, daily precipitation with a 1-day lag effect, and nesting attempt. In all years, daily survival rate increased on the day of a rain event and decreased the next day. There was temporal variation in nest success both within and among years: success of early (first 28 d of nesting season) nests ranged from 0.238 (SE = 0.080) in 2001 to 0.316 (SE = 0.055) in 2003, whereas survival of late (last 28 d of nesting season) nests ranged from 0.276 (SE = 0.090) in 2001 to 0.418 (SE = 0.055) in 2003. Renests experienced higher survival than first nests. Grass cover was the only important model term that could be managed, but direction and magnitude of the grass effect varied. Site, shrub and forb canopy cover, and Robel pole reading were less useful predictors of nest success; however, temporal and spatial variation in these habitat covariates was low during our study. We note a marked difference between both values and interpretations of apparent nest success, which have been used almost exclusively in the past, and maximum-likelihood estimates used in our study. Annual apparent nest success (0.46) was, on average, 53% higher than maximum-likelihood estimates that incorporate individual, environmental, and habitat covariates. The difference between estimates was variable (range +8% to +91%). Management of habitats for nesting sage-grouse should focus on increasing grass cover to increase survival of first nests and contribute to favorable conditions for renesting, which should be less likely if survival of first nests increases (Copyright applies to all Abstracts.)</t>
  </si>
  <si>
    <t>Population decline of a long-distance migratory passerine at the edge of its range: nest predation, nest replacement and immigration</t>
  </si>
  <si>
    <t>The relative importance of predators and resources (i.e. food) for the dynamics of migratory bird populations is poorly known. Resource availability may be more likely in resource poor environments, but given that nest failure in most systems is due mainly to predation, predator effects may predominate. We document a rapid decline of an isolated eastern kingbird Tyrannus tyrannus population breeding in the Great Basin Desert of eastern Oregon, USA, and evaluate whether it was driven by limited food resources (water availability ~ food), nest predation, or first-year or adult return rate (RRJ and RRA, respectively) that reflect nonbreeding season events. Most nests failed (~68% of nests) due mainly to nest predation (&amp;gt; 90% of failures); nestling starvation was rare. Bioyear precipitation (October–April), breeding season precipitation, and river flow all varied widely but none could account for annual variation in either nest success (NS) or fledging success of successful nest (FSSN). Neither RRJ nor RRA varied with year, any measure of water resources, or reproductive success. Annual population growth rate (ln[Nt+1/Nt]) was independent of year, all measures of water availability, RRJ and RRA, and NS of replacement nests, but was high following years of high NS of initial nests; FSSN was also higher in years of high NS. High rates of nest predation, due likely to the expansion of the local American crow Corvus brachyrhynchos population, appeared to drive the population decline. Empirical data and population simulations indicated that replacement nests contributed little to λ, while simulations revealed that, given site-specific vital rates, the decline would have been even greater without immigration (λ = 0.812) than the observed (λ = 0.914). Long distance dispersal may thus be critical for persistence of kingbirds in the naturally highly fragmented habitat that it occupies in the Great Basin Desert. © 2020 Nordic Society Oikos. Published by John Wiley &amp; Sons Ltd</t>
  </si>
  <si>
    <t>Long-term variation in environmental conditions influences host–parasite fitness</t>
  </si>
  <si>
    <t>Long-term data on host and parasite fitness are important for predicting how host–parasite interactions will be altered in an era of global change. Here, we use data collected from 1997 to 2013 to explore effects of changing environmental conditions on bird–blowfly interactions in northern New Mexico. The objectives of this study were to examine what climate variables influence blowfly prevalence and intensity and to determine whether blowflies and climate variables affect bird fledging success. We examined how temperature, precipitation, and drought affect two parasitic blowflies and their hosts, Western Bluebirds (Sialia mexicana) and Ash-throated Flycatchers (Myiarchus cinerascens). We found that blowfly prevalence did not change over time. Blowfly intensity increased over time in bluebird nests, but not in flycatcher nests. More blowflies result in slightly higher fledging success in bluebirds, but not flycatchers. There was a significant interaction between blowflies and precipitation on bluebird fledging success. For flycatchers, there was a significant interaction between blowflies and temperature and between blowflies and drought severity on fledging success. Given that the southwest is projected to be hotter and have more frequent and prolonged droughts, we predict that flycatchers may be negatively impacted by blowflies if these trends continue. Future work should focus on investigating the role of both blowflies and climate on fledging success. Climate patterns may negatively impact host fitness through altered parasite pressure. © 2019 The Authors. Ecology and Evolution published by John Wiley &amp; Sons Ltd.</t>
  </si>
  <si>
    <t>Nest survival in year-round breeding tropical red-capped larks Calandrella cinerea increases with higher nest abundance but decreases with higher invertebrate availability and rainfall</t>
  </si>
  <si>
    <t>Nest survival is critical to breeding in birds and plays an important role in life-history evolution and population dynamics. Studies evaluating the proximate factors involved in explaining nest survival and the resulting temporal patterns are biased in favor of temperate regions. Yet, such studies are especially pertinent to the tropics, where nest predation rates are typically high and environmental conditions often allow for year-round breeding. To tease apart the effects of calendar month and year, population-level breeding activity and environmental conditions, we studied nest survival over a 64-month period in equatorial, year-round breeding red-capped larks Calandrella cinerea in Kenya. We show that daily nest survival rates varied with time, but not in a predictable seasonal fashion among months or consistently among years. We found negative influences of flying invertebrate biomass and rain on nest survival and higher survival of nests when nests were more abundant, which suggests that nest predation resulted from incidental predation. Although an increase in nest predation is often attributed to an increase in nest predators, we suggest that in our study, it may be caused by altered predator activity resulting from increased activity of the primary prey, invertebrates, rather than activity of the red-capped larks. Our results emphasize the need to conduct more studies in Afro-tropical regions because proximate mechanisms explaining nest predation can be different in the unpredictable and highly variable environments of the tropics compared with the relatively predictable seasonal changes found in temperate regions. Such studies will aid in better understanding of the environmental influences on life-history variation and population dynamics in birds. © 2018 The Authors</t>
  </si>
  <si>
    <t>The breeding performance of wild helmeted guineafowl (Numida Meleagris Galeata Pallas) in the Waza National Park, North Cameroon</t>
  </si>
  <si>
    <t>Revue d'Ecologie (La Terre et la Vie)</t>
  </si>
  <si>
    <t>The breeding success of wild Helmeted Guineafowl (Numida meleagris galeata Pallas 1767) was investigated for three consecutive years, from 1992 to 1994. The results show that egg laying starts in August. The breeding season usually lasted for about two months. Average clutch size for successful nests over 3 years was between 11.6 and 13.1 eggs. Nest abandonment, predation, trampling by elephants and flood were found to be the main causes of nest loss. The intensity of these factors varied with breeding stage and year. However, re-nesting compensated for most of the lost nests if the losses took place during the laying or early incubation stage. The age of the breeding hens also influences breeding success with older birds being more successful than first-time breeders. Nest survival was found to vary with breeding stage and rainfall, being highest (for all stages) in the year with the highest annual rainfall (1994) and lowest in the year with the lowest annual rainfall (1993). The overall breeding success plus or minus 95 % confidence limit was 29.0 ±0.03 % in 1992, 15.6 ±0.03 % in 1993 and 40.2 ± 0.03 % in 1994. The breeding season each year started about a month after insect number had reached its yearly peak.</t>
  </si>
  <si>
    <t>Association of weather and nest-site structure with reproductive success in California spotted owls</t>
  </si>
  <si>
    <t>Although the spotted owl (Strix occidentalis) has been intensively studied, factors influencing its reproduction are not well understood. The authors examined a nine-year demographic study of 51-86 pairs of the California spotted owl (S. o. occidentalis), weather conditions, and forest structure at nest sites in oak (Quercus sp.) woodland and conifer forests to assess if weather or nest-site variables are associated with reproduction. Mean reproduction was highly variable between years, but within a given year was largely synchronous among all owl pairs across forest types (i.e., oak woodlands and conifer) with different prey bases. There was no significant difference in reproduction between owls on National Forest and National Park lands. In oak woodlands and conifer forest, mean fledgling production was negatively correlated with nesting period precipitation, and in conifer forests, positively correlated with April's minimum temperature. For both forest types, live-tree nests were in large (diameter at breast height [dbh] &gt; 150 cm), old trees (&gt;225yr) with large crowns (foliage volume &gt; 1,700 m~3~). Regardless of forest type, all nest sites had similar canopy cover (76%), tree density (312 stems/ha), and foliage volume (45,000 m~3~/ha). Nests with repeated use produced more young than nests used only one year. In oak woodlands, nests with higher reproduction were on shrubby, north-aspect slopes in trees or snags surrounded by a well-developed canopy. In conifer forests, reproductive success was associated with nests overtopped by a canopy with a high foliage volume. Synchronous annual reproduction and the association of nest-period weather and canopy structure with production of young, suggests that reproduction is influenced by both regional weather conditions and nest-site canopy structure, which protects fledglings from detrimental weather (Copyright applies to all Abstracts.)</t>
  </si>
  <si>
    <t>Rainfall during parental care reduces reproductive and survival components of fitness in a passerine bird</t>
  </si>
  <si>
    <t>Adverse weather conditions during parental care may have direct consequences for offspring production, but longer-term effects on juvenile and parental survival are less well known. We used long-term data on reproductive output, recruitment, and parental survival in northern wheatears (Oenanthe oenanthe) to investigate the effects of rainfall during parental care on fledging success, recruitment success (juvenile survival), and parental survival, and how these effects related to nestling age, breeding time, habitat quality, and parental nest visitation rates. While accounting for effects of temperature, fledging success was negatively related to rainfall (days &gt; 10 mm) in the second half of the nestling period, with the magnitude of this effect being greater for breeding attempts early in the season. Recruitment success was, however, more sensitive to the number of rain days in the first half of the nestling period. Rainfall effects on parental survival differed between the sexes; males were more sensitive to rain during the nestling period than females. We demonstrate a probable mechanism driving the rainfall effects on reproductive output: Parental nest visitation rates decline with increasing amounts of daily rainfall, with this effect becoming stronger after consecutive rain days. Our study shows that rain during the nestling stage not only relates to fledging success but also has longer-term effects on recruitment and subsequent parental survival. Thus, if we want to understand or predict population responses to future climate change, we need to consider the potential impacts of changing rainfall patterns in addition to temperature, and how these will affect target species' vital rates. In this study we show that rainfall during parental care not only reduce fledging success, but also have longer-term effects on recruitment success and parental survival, with these being age-, sex- and time-dependent. Increasing daily rainfall reduced parental nest visitation rates. © 2015 Published by John Wiley &amp; Sons Ltd.</t>
  </si>
  <si>
    <t>We investigated nest site selection and breeding success of White Storks (Ciconia ciconia) in relation to geographical features, weather, and land use in western Turkey. Locations of nests in relation to altitude, distance to the nearest fiver and stream, slope, and aspect were examined between 2008 and 2010 in Sindirgi District. Population dynamics of breeding White Storks were surveyed in the central town in 1984, 1987, and between 1992 and 2010. White Storks nested in only 17 of 74 settlements. Twenty-six of 46 nests were occupied in 2010 with a mean density of 1.72 breeding pairs/km². Settlements with nests were significantly lower (X̄ ± SD) in elevation (283.3 ± 77.3 vs. 622.5 ± 230.7 m) and closer to the nearest river (1,646.2 ± 1,004.5 vs. 4,101.7 ± 3,231.5 m) than settlements without nests. No significant difference was found between the mean aspects of the settlements and the distances to the nearest stream between these two groups of settlements. The number of breeding pairs and fledglings had a significantly decreasing trend throughout the study period. The number of breeding pairs was positively correlated with the annual total area of crop fields and negatively correlated with the total area of fruit production. The number of breeding pairs was positively correlated with total and maximum precipitation in April, but breeding success was negatively correlated with mean total precipitation and mean maximum precipitation during the breeding season. [ABSTRACT FROM AUTHOR] Copyright of Wilson Journal of Ornithology is the property of Wilson Ornithological Society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</si>
  <si>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The effects of rainfall on different components of seasonal fecundity in a tropical forest passerine</t>
  </si>
  <si>
    <t>Seasonal fecundity is a composite metric that is determined by component parameters such as clutch size, nest survival and re-nesting probability. Many of these component parameters are known to vary with environmental conditions, in particular rainfall prior to or during the breeding season. In some species, seasonal fecundity is positively related to rainfall, but little is known about which component parameters of seasonal fecundity respond most strongly to rainfall. We used intensive nest monitoring of a multi-brooded tropical forest passerine, the Montserrat Oriole Icterus oberi, to examine the effects of rainfall during the pre-breeding season on component parameters of annual fecundity. We monitored all nests of a total of 42 pairs over 5years in which rainfall varied substantially. We then related clutch size, nest survival, onset and length of the breeding season, re-nesting probability and re-nesting interval to pre-breeding season rainfall using generalized linear mixed models that accounted for random variation across sites and individual pairs, and incorporated other variables known to affect the response. Higher pre-breeding season rainfall led to an increase in clutch size and a decrease in re-nesting interval, but nest survival, re-nesting probability and length of the breeding season were not affected by variation in rainfall. The onset of the breeding season was delayed in very dry years. We conclude that higher rainfall is likely to increase food availability and thus body condition of female Montserrat Orioles, leading to an increase in fecundity due to larger clutch sizes.</t>
  </si>
  <si>
    <t>Breeding performance of the Middle Spotted Woodpecker Dendrocopos medius in relation to weather and territory quality</t>
  </si>
  <si>
    <t>Reproductive success in birds is influenced by a variety of factors, many of which can be attributed to human activities such as land use or forest management. Others like weather or age of the birds are not under human control but are influential as well. From 1992-96, I examined breeding phenology and performance of Middle Spotted Woodpeckers Dendrocopos medius in northeastern Switzerland in relation to weather, territory quality and age of the birds. Timing of breeding, length of the nestling period as well as nesting and breeding success significantly differed between years. On average, incubation started earlier in years with higher daily temperatures in March-April. Neither territory quality nor the participation of 1-year old individuals in pairs influenced breeding success, whereas low temperatures and high amounts of rainfall during the nestling phase negatively affected breeding performance, which probably reflects the difficulties encountered by the woodpeckers in provisioning their young with sufficient food during periods of bad weather. These findings suggest that weather events can strongly influence reproduction even of primary cavity-nesting species, exceeding presumed differences in habitat quality at a local scale.</t>
  </si>
  <si>
    <t>Blow fly trypocalliphora braueri parasitism on meadow pipit and bluethroat nestlings in Central Europe</t>
  </si>
  <si>
    <t>The larvae of blow fly (Trypocalliphora braueri) are known to cause a subcutaneous myiasis in bird nestlings mainly in Nearctic species, while only a few records are available from the Palaearctic. Here, we report on infestations of this insect ectoparasite in two passerine species, Meadow Pipit (Anthus pratensis) and Bluethroat (Luscinia svecica), breeding in the Central European mountain range Krkonoše. The infestation of T. braueri parasite was relatively low in studied bird species (3.0% of infested nests in Meadow Pipit and 4.2% in Bluethroat) but varied strongly between years (0-33% of infested nests/year/ species). The presence of the parasitic blow fly larvae was apparently controlled by temperature; they were found only during warm summers. The combination of parasite infection and heavy rainfalls in a critical period significantly reduced nestling survival. © Dt. Ornithologen-Gesellschaft e.V. 2007.</t>
  </si>
  <si>
    <t>Reproductive success of house sparrows along an urban gradient</t>
  </si>
  <si>
    <t>ANIMAL CONSERVATION</t>
  </si>
  <si>
    <t>Recent large declines in house sparrow Passer domesticus L. populations in many European towns and cities have generated much speculation as to possible environmental causes, although empirical insights have been lacking. We measured reproductive success in a declining house sparrow population along an urbanization gradient in Leicester, England, and used mixed models to identify correlates of nesting success. A stochastic simulation approach was developed to estimate annual reproductive success when the number of breeding attempts was unknown, and to assess the sensitivity of reproductive success to variation in different environmental factors. During 2 out of 3 years, reproductive output was lower than the predicted threshold required for population stability. Years of inadequate reproduction were characterized by lower chick survival and body mass at fledging (a predictor of post-fledging survival). Factors associated with reduced reproductive output included low ambient temperatures, extremes of rainfall, high levels of vegetable material in the diet (all affecting chick survival and body mass), low aphid densities (an important component of chick diet) and high concentrations of air pollution from traffic (affecting chick body mass). Reproductive failure linked to inadequate invertebrate availability provides a plausible demographic mechanism accounting for declines in urban-suburban house sparrow populations. Increased traffic volume and vegetation removal are candidate causal factors in these declines although the mechanism underlying the former is unclear. Increasing densities of key invertebrate prey away from major roads should be an objective of conservation management aimed at urban-suburban house sparrows. This study illustrates the utility of mixed models for the analysis of individual sibling survival and of stochastic simulation for modelling reproductive success in multi-brooded animals.</t>
  </si>
  <si>
    <t>Distribution and breeding success of pallid swifts, Apus pallidus, on Mediterranean islands: Nest predation by the roof rat, Rattus rattus, and nest site quality</t>
  </si>
  <si>
    <t>Oikos</t>
  </si>
  <si>
    <t>Nest site quality and egg predation are two important components of breeding success in birds. Here we study the role of pallid swift nest site quality and of predation by rats in explaining swift abundance and distribution on Mediterranean islands. First, we monitored the breeding success in natural nests on a rat free island in relation to physical features of nest sites and to meteorological conditions in order to understand the impact of weather on breeding success. Second, we inferred the impact of nest predation by rats empirically from the comparison of the distribution of rats and swifts on the islands. Third, we studied the impact of rats on swift nests experimentally by using artificial nests baited with quail eggs. Artificial nests were placed in sites mimicking extreme types of nest sites naturally used by swifts in relation to their accessibility to small mammalian predators. The experiment with artificial nests were conducted simultaneously on rat infested and rat free islands. Results show that the effect of meteorological events such as heavy summer rains on breeding success depends on the physical features of the nest site (depth, protection, number of exits). We speculate that while breeding success of some nests is affected by heavy summer rains these nests are at an advantage in case of unusually high temperatures. Experimental and observational results on rat predation show that rats dramatically reduce or extirpate local swift populations on rat infested islands. Only a small number of nest sites originally available to swifts will provide sufficient protection from predation by rats and are still used by swifts on rat infested islands. Rats and weather interact in a complex fashion on these islands in shaping the observed pattern of nest site selection and breeding success of swifts. The results also suggest that rats probably heavily influence the local diversity of bird communities and the regional distribution of many bird species.</t>
  </si>
  <si>
    <t>Long-term study of a Goshawk breeding population on a Mediterranean mountain (Abruzzi Apennines, central Italy): Density, breeding performance and diet</t>
  </si>
  <si>
    <t>The breeding density, breeding performance and breeding diet of a Mediterranean population of Goshawks (Accipiter gentilis) were studied in central Italy over a 10-yr period. Sixteen goshawk nesting pairs were found within a 318 km2 area (5.03 pairs/100 km2). The minimum distance between pairs averaged 3.5 km. I observed a total of 51 nesting attempts at seven nest sites. Annual mean productivity of breeding pairs was 2.28 fledgings/successful pair and 1.69 fledgings/egg-laying pair. The occurrence of nesting failures was correlated with rainfall during April-May (r = 0.77, P &amp;lt; 0.01) and brood size at fledging was related to laying date (r = -0.71, P &amp;lt; 0.05). The diet included 20 species of birds (representing 75% of the prey and 71% of the biomass) and six species of mammals (representing 25% of the prey and 29% of the biomass). Wood Pigeon (Columba palumbus), Jay (Garrulus glandarius), Mistle Thrush (Turdus viscivorus), red squirrel (Sciurus vulgaris) and edible dormouse (Glis glis) accounted for 67% of all prey captures. In terms of biomass, Jays (20.76%), Wood Pigeons (16.03%), red squirrels (12.64%) and edible dormice (12.29%) were the dominant prey. I found 23 plucking sites on the ground (44.2%), 21 on rock with moss (40.4%), seven on tree stumps (13.5%) and one on the root of an uprooted tree (1.9%).</t>
  </si>
  <si>
    <t>Evaluation of the moisture-facilitated nest depredation hypothesis in a semiarid environment</t>
  </si>
  <si>
    <t>We evaluated the moisture-facilitated nest depredation hypothesis in a semiarid environment in the Southern High Plains of Texas during 1999 and 2000. Scaled Quail (Callipepla squamata) provided an excellent model species for this evaluation because they typically suffer significant nest mortality and inhabit semiarid to xeric environments. We monitored 102 nests until they either hatched or were predated. Nest mortalities occurred on 30 days and precipitation fell on 51 days during the two-year study. Stepwise logistic regression revealed a predictive relationship for a model with central precipitation on the day of nest predation as a predictor. However, in contrast to our predictions, the equation indicates precipitation is negatively associated with nest predation in this data set. Thus, our data do not support the moisture-facilitated nest depredation hypothesis for Scaled Quail in the semiarid, Southern High Plains of Texas.</t>
  </si>
  <si>
    <t>The breeding biology of the common redstart, Phoenicurus phoenicurus, in the Central European pine forest</t>
  </si>
  <si>
    <t>Folia Zoologica</t>
  </si>
  <si>
    <t>The breeding biology of the common redstart, Phoenicurus phoenicurus, was studied from 295 nests over 20 years in a nest-box population breeding in managed pine forest in the northeast of the Czech Republic, central Europe. The laying of first eggs lasted from 30 April until 30 June with two distinct peaks in May and June. The estimated proportion of pairs producing two broods per season was 65.4%, the highest estimate in studies of this species. Nest success was only 45.1%, one of the lowest known values. The mean clutch size was 6.30 eggs in assumed first broods and 5.39 eggs in assumed second broods. The production of two broods per season and relatively small clutches is probably a parental adaptation to conditions of frequent nest predation. The two breeding attempts per season could not, however, compensate for the latitudinal differences in clutch size and breeding success, and the seasonal breeding productivity was lower in comparison to populations in the northern area of distribution. At higher air temperatures the breeding started earlier. The air temperature also affected nest success which was highest at mean temperature values and decreased to both low and high temperature extremes. The effects of precipitation, first-egg-laying date, clutch size and year of observation on nest success were not significant.</t>
  </si>
  <si>
    <t>There goes the neighborhood: White-crowned Sparrow nest site selection and reproductive success as local density declines.</t>
  </si>
  <si>
    <t>Changes in climate, vegetation, and land use are recognized as important drivers of changes in the distribution and abundance of wildlife. However, the behavioral and demographic mechanisms through which these changes affect populations have received less attention. Identifying these mechanisms is an important component of predicting the impacts of increasing environmental change. We used 30 yr of nest monitoring data at a study site where White- crowned Sparrow (Zonotrichia leucophrys) breeding density declined 85% to evaluate factors influencing habitat selection and reproductive success. Rapid secondary plant succession occurred at our study site, but the rate of change was faster in some areas than others. White-crowned Sparrows exhibited strong patterns of nest site selection, preferring open shrub vegetation and avoiding forest. As a result, many parts of the study area that were used for nesting early in the study period were no longer occupied by the end of the study period. Over the course of the study, both the weather conditions and the vegetation structure and composition around nests varied. Across the range of occupied habitat, we found no effect of vegetation structure on reproductive success. We also found no support for effects of temperature and rainfall on nest survival, and only weak and inconsistent effects of temperature on clutch size and the number of fledglings per nest. These results indicate that vegetation change drove changes in the nest sites used through habitat selection, and that habitat selection appeared to ameliorate any potential negative effects of vegetation change on per capita reproductive success. Hence, the population's response to rapid vegetation change was driven, at least in part, by site selection, rather than by a decline in reproductive success. In light of increasing environmental variation, it will be important to partition the effects of environmental change on habitat use and reproductive success to predict population viability and extinction risk. (English) [ABSTRACT FROM AUTHOR] Copyright of Condor: Ornithological Applications is the property of Oxford University Press / USA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</si>
  <si>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We examined abiotic and biotic variables potentially associated with Northern Bobwhite (Colinus virginianus) nest-site selection and nest success in southern Texas. USA during 2002-2005. These data were used to characterize bobwhite nest-site selection, and to develop and evaluate models of daily nest survival in Program MARK. Nest sites (n = 123) had greater visual obscurity (3.50 vs. 2.60 dm) and vegetation height (64 vs. 47 cm). and less bare ground (11 vs. 25%) compared to random locations (n = 123). The two best models indicated daily nest survival increased with increasing mean maximum temperature and increasing cumulative precipitation. The model-averaged (± SE) estimate for bobwhite daily nest survival was 0.9593 ± 0.0060. These results suggest that bobwhites selected for a specific range of nest-site microhabitat attributes, but that nest predation was largely random, Bobwhite nest survival and productivity in semiarid, subtropical, southern Texas may be largely dependent on weather factors (e.g., temperature and precipitation). [ABSTRACT FROM AUTHOR] Copyright of Wilson Journal of Ornithology is the property of Wilson Ornithological Society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</si>
  <si>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The importance of rainfall to a cavity-nesting species.</t>
  </si>
  <si>
    <t>The article presents information on the findings of a study on the importance of rainfall to a cavity-nesting bird species by investigating the impact of rainfall on the fledging success of the Green Woodhoopoe Phoeniculus purpureus. The study, conducted in the Morgan's Bay region of South Africa, examined the size and inclination of natural nest-hole entrances, and the importance of the latter on fledging success rate. It was found that Green Woodhoopoes suffered lowered nesting success in wet breeding seasons, with 25% of the variation in fledging success explained by the total rainfall in that period. (Copyright applies to all Abstracts.)</t>
  </si>
  <si>
    <t>Survival analysis of little penguin Eudyptula minor chicks on Motuara Island, New Zealand</t>
  </si>
  <si>
    <t>Chick survival of little penguins Eudyptula minor was studied on predator-free Motuara Island, Cook Strait, New Zealand (41°05'S, 174°15'E), in 1995 and 1996. The authors used the Kaplan-Meier estimator and robust Cox regression to estimate chick survival rate (± se) at 0.325 ± 0.044, leading to an estimated survival from laying to fledging of 0.13 or a reproductive output of 0.26 chicks per pair and breeding attempt. Starvation posed the greatest mortality risk, followed by unknown factors and rain. Risk of death due to rain was restricted to the guard stage, whereas starvation occurred throughout the nesting period, though with a peak in the early guard stage. Significant seasonal differences in survival rate were detected in both years, but with reversed trends, survival decreasing with the season in 1995 and increasing in 1996. Failure of adults to relieve their partner on the nest after chicks hatched accounted for 16% mortality or 34% of all chick deaths. Differences in chick survival rate between nest types were significant in 1995, a year with high rainfall, but not in 1996. Nests in the base of hollow trees had the highest chick survival rate. Of chicks in open nests - a nest type that is unusual for this species - 5.4% fledged. The results suggest that on Motuara Island good breeding sites are scarce and that the food supply has been poor during the years of this study (Copyright applies to all Abstracts.)</t>
  </si>
  <si>
    <t>Climatic variability, nest predation, and reproductive output of Lilac-crowned Parrots (Amazona finschi) in tropical dry forest of western Mexico</t>
  </si>
  <si>
    <t>For 1996-2003, we determined reproductive output and success of 70 Lilac-crowned Parrot (Amazona finschi) nests in tropical dry forest of the Chamela-Cuixmala Biosphere Reserve in western Mexico. Only 42% of nests had young that fledged; predation was the main cause of nest failure. Low brood survival in 2000 and 2003 caused significant between-year variation in the probability of nest success during the nestling phase of the nest cycle. Reproductive output of Lilac-crowned Parrots was low, with females producing an average of 0.99 fledglings on an initial investment of 2.6 eggs. The fecundity component of clutch size varied significantly between years, because of the high median clutch size recorded in 2000. Nestling survival also varied significantly between years, creating large interannual fluctuations in reproductive output. The most productive breeding season was 1999, with an average output of 1.7 fledglings on an investment of 2.7 eggs; whereas the poorest breeding season was 2000, with an output of 0.57 fledglings from 3.3 eggs. Loss of reproductive potential was greatest in 2000 and 2003, because of brood reduction through starvation of later-hatched nestlings, with hatching order influencing the probability of nestling survival. Mean number of nestlings per egg-laying female was associated with interannual fluctuations in precipitation resulting from the El Niño-La Niña weather cycle in the Pacific Ocean. Both nest predation and food availability may limit parrot reproduction in tropical dry forests, with populations of threatened species in dry habitats being vulnerable to effects of climatic variability and habitat fragmentation.</t>
  </si>
  <si>
    <t>Brood reduction and siblicide in black-billed magpies (Pica pica)</t>
  </si>
  <si>
    <t>In many avian species, brood reduction is considered to be adaptive and may be attributed either to sibling competition (passive starvation, active sibling aggression) or parental effects (manipulation of hatching spread, active infanticide). However, nonadaptive factors such as environmental effects, may contribute substantially to nestling mortality. I determined mechanisms of brood reduction and survival probabilities of nestling Black-billed Magpies (pica pica) in relation to intraclutch egg-size variation, brood size, nestling age and size, and weather. Median brood survival time was weakly, but positively, correlated with intraclutch egg-mass variation. Starvation accounted for most nestling mortality within the first 9 days posthatching, although 12 dead and moribund nestlings were found badly bruised around the head. Siblicide and sibling cannibalism were observed in two broods and implicated in the deaths of nestlings in three other broods. Siblicidal events occurred when nestlings were between 15 and 20 days old. Expected median survival times and probability of survival to fledging of nestlings was not linearly related to brood size at hatching, being highest for broods of five, lowest for broods of three, and intermediate for broods of four and sir. Dead nestlings were smaller and lighter than surviving siblings at any age; however, asymptotic body mass and linear measurements were negatively correlated with brood size at fledging. The probability of mortality was affected by prevailing weather conditions; rain and low temperatures doubled the estimated risk of death for young nestlings, independent of brood size. These data suggest that factors influencing the occurrence and maintenance of brood-reduction strategies in a population may be more complex than previously thought. Brood-reduction mechanisms are affected by the interaction of biotic and abiotic factors, and may vary in response to factors outside of either parental or offspring control.</t>
  </si>
  <si>
    <t>October, 1998</t>
  </si>
  <si>
    <t>Relation between weather and survival of wild turkey nests</t>
  </si>
  <si>
    <t>Information is presented on the relationships among 14 weather variables and the daily survival of wild turkey nests in southcentral New York. Data show a strong positive correlation between predicted and observed probabilities of 20-day wild turkey nest survival (r=0.93). pcp (Copyright applies to all Abstracts.)</t>
  </si>
  <si>
    <t>Breeding biology and fledgling survival in a Carrion Crow Corvus corone population of southern Spain: A comparison of group and pair breeder</t>
  </si>
  <si>
    <t>Abstract. Cooperative breeding is not common among birds, although its frequency is relatively high within the Corvidae family. We study the effect of group breeding on the reproductive biology of the Carrion Crow Corvus corone, a species that was usually described as non-cooperative. Our study population is located at the southern limit of the distribution of the species, which confers special characteristics to its breeding biology. Early breeders had a significantly larger clutch size and produced a higher number of fledglings. Replacement clutches were very rare and always unsuccessful, contrary to what happens in other European Carrion Crow populations. More than half of the breeding attempts (66.1%) in our study area showed cooperative breeding but it had only a significant effect on laying date - group-breeding females laid eggs significantly earlier than did pair-breeding females. We also explored brood parasitism by Great Spotted Cuckoos Clamator glandarius on the reproductive success of Carrion Crows. Brood parasitism reduced the number of both hatched nestlings and fledglings. However, group-breeding and pair-breeding nests had similar probabilities of being parasitized. Finally, we also examined the effect of some meteorological variables on the breeding performance of Carrion Crows. The average precipitation during the nestling period was positively related with number of fledglings raised.</t>
  </si>
  <si>
    <t>Breeding season flooding and its effects on nesting Florida Burrowing Owls (Athene cunicularia floridana)</t>
  </si>
  <si>
    <t>For ground- and burrow-nesting birds, heavy rain events can lead to reproductive failure when nests flood. This paper describes the exposure of Florida Burrowing Owls (Athene cunicularia floridana) to breeding season flooding, its relationship to annual reproductive success rates, and effect on nest failure across 5 cattle ranches in southwestern Florida, USA. In May 2016, a heavy rain event following an unusually wet thy season led to extensive burrow flooding and widespread reproductive failure in 1 of the breeding sites under study. In 2017 and 2018, burrows flooded frequently but the occurrence of flooding later in the breeding season was not associated with a lower overall annual reproductive success rate. Brood age at the time of flooding had a significant relationship with the probability that a particular nest failed, with the chance of event survival increasing from 12% in week 3 to 58% in week 4. All but I brood that experienced flooding in week 5 or later survived at least partially. Our findings indicate that flooding is a common occurrence that Florida Burrowing Owls breeding on cattle ranches can tolerate, but extreme precipitation, especially early in the breeding season or when broods arc young, can cause widespread nest failure. Annual productivity could be affected if these events increase in frequency with climate change, but the inclusion or maintenance of elevated pound within the ranch landscape could provide refugia.</t>
  </si>
  <si>
    <t>Reproductive response of Arizona Grasshopper Sparrows to weather patterns and habitat structure</t>
  </si>
  <si>
    <t>Avian species endemic to desert grasslands of North America contend with significant ecological challenges, including monsoonal rains, droughts, and variable temperatures. These birds have evolved physiological and behavioral means of coping with such extremes, but ongoing changes to temperature and precipitation patterns are affecting their breeding phenology, reproductive success, and population growth rates. We examined how seasonal and daily weather conditions and habitat structure were associated with the nest survival of Arizona Grasshopper Sparrows (Ammodramus savannarum ammolegus) in the semidesert and plains grasslands of southeastern Arizona, USA. The mean ± SE daily survival rate (DSR) of nests was 0.960 ± 0.006, corresponding to overall nest success of 46%. The previous season's precipitation, large rain events, and nest concealment were the most important factors explaining DSR. Grasshopper Sparrow nest survival decreased with a wetter previous growing season and with large rain events on previous days. Nests that were more concealed had lower survival rates. There was some evidence that nest survival was lower later in the nesting season. In addition, when nest concealment was included in models, there were positive but weak associations between other vegetation variables and DSR-nests with higher visual obstruction at the nest and nest plot scales, and nests that were farther from shrubs &gt;2 m tall, showed higher survival rates. Predation was the major cause of nest failure, suggesting complex interactions among predation, precipitation, and nest concealment. Further, our findings suggest tradeoffs in the potential effects of future climate change on A. s. ammolegus. The increased frequency of extreme storm events predicted for the region may result in reduced nest survival of A. s. ammolegus, but, conversely, lower seasonal precipitation prior to nesting may positively influence nest survival. © 2018 American Ornithological Society.</t>
  </si>
  <si>
    <t>Heavy and persistent rainfall leads to brood reduction and nest failure in a passerine bird</t>
  </si>
  <si>
    <t>The process of reproduction is a sensitive period for bird offspring, since they are exposed to environmental conditions for several weeks. Within the long reproductive period, adult birds do not only have to maintain their own body condition, they also have to ensure nutritional needs of their nestlings. In the worst case, if weather conditions are very harsh, breeding is not successful and fails. This suggests that weather conditions might be an important driver of breeding success. Here, we studied the effect of weather conditions (temperature and precipitation) on the survival of 350 nests of great tits Parus major during nestling period in six years (2010–2015). We used traditional generalized linear mixed model (binomial response variable) and a dedicated survival-analysis program (MARK) to analyze the data. The two approaches allowed us to highlight and compare the effect of weather conditions on a fine (nestling survival) and coarse (nest fate) scale. Both methods showed that precipitation explained most of the variation in individual nestling and overall nest survival during the 15-day nestling period. Heavy and persistent rainfall did not only lead to brood reduction, it ultimately also led to losses of the entire brood. Likely causes were the negative effects of precipitation on thermoregulation, food availability and predation risk. However, while reduced food availability most likely might have led to brood reduction through selective individual nestling death, predation might have resulted in total nest failures. © 2020 The Authors. Journal of Avian Biology published by John Wiley &amp; Sons Ltd on behalf of Nordic Society Oikos</t>
  </si>
  <si>
    <t>Global Ecology and Conservation</t>
  </si>
  <si>
    <t>Seasonal rainfall in subtropical montane cloud forests drives demographic fluctuations in a Green-backed Tit population</t>
  </si>
  <si>
    <t>Montane birds are vulnerable to climate change. However, the mechanisms by which weather drives demographic processes in montane birds have seldom been investigated. We conducted a long-Term study (2009-2019) on the Green-backed Tit (Parus monticolus), an insectivorous passerine, in the montane cloud forest of subtropical Taiwan. We explored the effects of weather variability on the productivity and survival of adult Green-backed Tits. Nest survival was negatively associated with seasonal rainfall during the breeding season (April-July) and was lower in early clutches than in late clutches. Higher typhoon-induced precipitation during the postbreeding period (July-September) was related to reduced adult survival, but neither summer temperature nor winter weather conditions were found to be related to adult bird survival. We developed a stochastic simulation model for Green-backed Tit population dynamics based on empirical data. We compared the simulated time-series and observed population growth rates (λ) and found that 80% (8/10 yr) of the observed λ fell within the 5th and 95th percentiles of the simulated data over the 10-yr period. Moreover, the simulated average (± standard deviation) of the geometric mean of λ over 10 yr (1.05 ± 0.07) was close to that observed from 2009 to 2019 (0.99), which provided confidence that the model effectively simulated the population growth rate of the Green-backed Tit. We conducted a sensitivity analysis for λ and found that juvenile and adult survival influenced by typhoon-induced rainfall were the greatest contributors to the variance in the growth rate of the Green-backed Tit population. With the onset of intensified seasonal precipitation associated with global warming, the population growth and density of Green-backed Tits will decline substantially. Our results suggest that under scenarios of high emissions of greenhouse gas, this local population of Green-backed Tits will not persist in the near future. LAY SUMMARY Although montane birds are vulnerable to climate change, the effect of weather on their demography has seldom been investigated. We examined the vital rates of the Green-backed Tit in a subtropical montane forest in Taiwan and constructed a model to simulate their population dynamics. We found seasonal precipitation to be the critical factor driving population fluctuations. High rainfall was related to decreased nest survival; typhoon-induced precipitation was associated with decreased adult survival. As seasonal precipitation is expected to intensify under high greenhouse gas emission scenarios, this local population is unlikely to persist in the future. Hence, the species may become a conservation concern. Copyright © American Ornithological Society 2020. All rights reserved. For permissions, e-mail: journals.permissions@oup.com.</t>
  </si>
  <si>
    <t>Effects of weather variation on the timing and success of breeding in two cavity-nesting species in a subtropical montane forest in Taiwan</t>
  </si>
  <si>
    <t>Biological processes at low latitudes are often associated with seasonal rainfall, while those at high altitudes are also influenced by low temperature and high humidity. Thus, the breeding phenology of montane species at low latitudes requires clarification. We monitored the timing of nesting for two species of secondary cavity-nesting passerine, the Green-backed Tit (Parus monticolus) and the Rufous-faced Warbler (Abroscopus albogularis), in a montane cloud forest in subtropical Taiwan between 2010 and 2014. To determine the effects of weather and extreme events on nesting success, we used program MARK to model daily nest survival rate as a function of weather variables. The results showed that March temperatures, but not spring (February-March) rainfall, affected the mean laying date of Green-backed Tits. Females shifted their laying dates to lay earlier in response to earlier warm spring weather. The Rufous-faced Warbler exhibited a similar but weaker relationship between March temperature and mean laying date. Spring temperature and rainfall did not affect the length of the laying season of either species. The reduction in the limiting effect of spring rainfall on biological processes may be attributable to the perhumid climate of the study area. Both species were negatively affected by heavy seasonal rainfall during the nesting period. Nest survival declined under extremely heavy rainfall (daily precipitation &gt;20 mm), but did not vary linearly or nonlinearly with daily precipitation levels. The daily survival rate of Green-backed Tits was further reduced by cold weather combined with heavy rain. Our results show that the breeding densities of both species declined across the 5-yr study period, indicating that the negative effects of adverse weather may contribute to further decreases in annual productivity, which would accelerate population declines at the current rate of climate change.</t>
  </si>
  <si>
    <t>Nestling growth and mortality of Pied Flycatchers Ficedula hypoleuca in relation to weather and breeding effort</t>
  </si>
  <si>
    <t>The growth pattern and mortality of young Pied Flycatchers Ficedula hypoleuca were studied to focus on the mechanisms and constraints behind the widely studied optimization of clutch size. The clutch sizes were modified, and the growth and survival of chicks from different clutch sizes were monitored along with the prevailing weather during the nestling period to detect the effect of weather on reproductive success. The weather conditions during the feeding period of the nestlings varied within a season as well as between breeding seasons, The prevailing weather markedly affected both the growth rate and the survival of chicks, yet, the effects of weather on growth were not greater in enlarged clutches, The impact of adverse weather was more pronounced in the later phases of nesting, when the food demand of a brood was highest. Brood reduction and total nest losses were more likely during extensive rainfall during the nestling phase and also in the enlarged clutches. Thus, weather is a very important determinant of reproductive success in this species, Weather conditions during the breeding season are unpredictable, however, and therefore brood reduction through sibling competition is a mechanism whereby brood size can be adjusted to the level the parents can rear under the prevailing conditions.</t>
  </si>
  <si>
    <t>Analysis of breeding data of the welcome swallow hirundo neoxena near manjimup, Western Australia</t>
  </si>
  <si>
    <t>Breeding data on the Welcome Swallow (Hirundo neoxena) collected by Dick and Molly Brown at the Middlesex Field Study Centre, near Manjimup, Western Australia, were analysed and compared with data from Sydney, Tasmania and New Zealand. The mean clutch size in Middlesex (3.06) was considerably lower than in Sydney (3.86), Tasmania (4.03) and New Zealand (4.49). The long, dry Western Australian summer and migration factors may account for the difference between Middlesex and Sydney but migration factors cannot account for those differences with New Zealand. Lack of competition in New Zealand, where the Welcome Swallow is a recent immigrant, may be the explanation for the differences. There was no correlation between latitude and clutch size from the four study sites. The hatching and fledgling success rates were noticeably higher in Middlesex than in the other three studies. Nesting sites close to water were preferred, possibly because they provided the birds with mud for nest building and a rich foraging place. Manmade nesting sites were used much more commonly than natural sites across all studies, perhaps because they were convenient and provide protection. There was no correlation between rainfall and breeding success. There was no evidence that pulli return to breed at the location in which they were reared.</t>
  </si>
  <si>
    <t>Weather effects on avian breeding performance and implications of climate change</t>
  </si>
  <si>
    <t>Acrocephalus</t>
  </si>
  <si>
    <t>Local weather differently affects collared flycatcher reproduction at different altitudes</t>
  </si>
  <si>
    <t>Central European Journal of Biology</t>
  </si>
  <si>
    <t>Temperature and precipitation are amongst the most important characteristics of local climatic conditions affecting the breeding biology of birds. Many bird species experiencing higher temperatures lay their eggs earlier and/or have bigger clutches. Higher precipitation can lead to a decrease in food availability and/or an increase of the costs of thermoregulation, which consequently may result in lower breeding success. In this paper we present differences in the breeding biology of two collared flycatcher (Ficedula albicollis) populations experiencing different temperatures and precipitation conditions associated with the different altitudes of their localities. We found differences in clutch size and nest success, as well as small differences in dates of egg laying. The population breeding at a higher altitude, and thus harsher conditions, was characterized by smaller clutches and lower nest success. In addition, this population was significantly affected by local weather, and showed correlation between both the beginning of egg laying and the local temperature, as well as between nest success and precipitation. Conversely, the population inhabiting the lower elevation locality with milder conditions showed no relationships with temperature or precipitation. These results suggest that severe conditions, such as high altitude, enhance the effect of local climatic conditions on collared flycatcher breeding ecology. © 2013 Versita Warsaw and Springer-Verlag Wien.</t>
  </si>
  <si>
    <t>The El Niño – Southern Oscillation dramatically influences the probability of reproduction and reproductive rate of a tropical forest bird</t>
  </si>
  <si>
    <t>Although climate change has been implicated in population declines of tropical forest birds, there is a critical lack of data on the mechanisms underlying these declines. Attempts to link climatic factors to variation in adult survival, fecundity or nest success have been largely inconclusive. Recent community-scale analyses have suggested that tropical birds may be less likely to breed under adverse conditions, but long-term data on individual reproduction are needed to test this hypothesis. Here we leverage 12 years of data on a lowland forest bird, the greater ani Crotophaga major, to investigate how demographic parameters vary with phase of the El Niño – Southern Oscillation (ENSO), a major driver of climatic conditions in tropical wet forest. The likelihood of breeding and annual reproductive rate both decreased dramatically in El Niño-like years, with only 37.5% of adults attempting breeding in 2015 (a strong El Niño year). For birds that did breed, however, clutch size and daily nest predation rate were unaffected by climate. Of the local climate variables investigated, dry season length and the frequency of high temperatures were most closely associated with reproductive failure. These results indicate that El Niño conditions alter the demography of greater anis by reducing the likelihood of reproduction, a response that may be more widespread than currently recognized. We suggest that reduced reproduction under adverse conditions represents an important and understudied aspect of the life histories of tropical forest birds. © 2021 Nordic Society Oikos. Published by John Wiley &amp; Sons Ltd</t>
  </si>
  <si>
    <t>Effects of livestock grazing on nesting sage‐grouse in central Montana.</t>
  </si>
  <si>
    <t>Partitioning the sources of demographic variation reveals density-dependent nest predation in an island bird population</t>
  </si>
  <si>
    <t>Ecological factors often shape demography through multiple mechanisms, making it difficult to identify the sources of demographic variation. In particular, conspecific density can influence both the strength of competition and the predation rate, but density-dependent competition has received more attention, particularly among terrestrial vertebrates and in island populations. A better understanding of how both competition and predation contribute to density-dependent variation in fecundity can be gained by partitioning the effects of density on offspring number from its effects on reproductive failure, while also evaluating how biotic and abiotic factors jointly shape demography. We examined the effects of population density and precipitation on fecundity, nest survival, and adult survival in an insular population of orange-crowned warblers (Oreothlypis celata) that breeds at high densities and exhibits a suite of traits suggesting strong intraspecific competition. Breeding density had a negative influence on fecundity, but it acted by increasing the probability of reproductive failure through nest predation, rather than through competition, which was predicted to reduce the number of offspring produced by successful individuals. Our results demonstrate that density-dependent nest predation can underlie the relationship between population density and fecundity even in a high-density, insular population where intraspecific competition should be strong. © 2014 The Authors.</t>
  </si>
  <si>
    <t>Breeding biology of the Roller Coracias garrulus in Puszcza Pilicka Forest (Central Poland)</t>
  </si>
  <si>
    <t>Observations of breeding behaviour and checks on nests (N=99 nests) were made in 1957-1972, 1979-1982 and 1990-1993. The first date of arrival at the breeding grounds was to some extent correlated with mean May temperatures (rs=0.7674, p=0.001). Nest clusters of up to 5 pairs were observed in especially favourable habitat conditions, but nestboxes placed within breeding grounds were seldom occupied. As observed previously, nest material was not carried in, although bits of shiny objects were sometimes found. Observations of birds arriving in couples suggest that pair bonding starts on the wintering grounds. Differences in the egg-laying dates of different pairs can be as great as 30 days. There was a strong positive correlation between the mean June and July temperatures and the number of fledglings reared by successful pairs (r=0.7460, p=0.05). Nesting success was strongly negatively correlated with average rainfall for July (r=-0.8124, p=0.05). The long-term mean for the number of young leaving a nest per successful pair was 1.8 (N=44).</t>
  </si>
  <si>
    <t>Environmental correlates of reproductive success for introduced resident whooping cranes in Florida</t>
  </si>
  <si>
    <t>Reproduction within a recently re-introduced resident flock of Whooping Cranes ( Grus americana) in Florida during 19922007 was poor compared to an established wild flock. Pairing and nesting increased with average age of the flock, but fertility, hatching and fledging were variable among years, suggestive of an environmental influence. For climatic variables measured during the incubation period, only maximum soil temperature was associated with the failure of late nests in dry years. However, pre-nesting winter precipitation and water elevation were positively correlated with an index of nesting effort. Winter precipitation was associated with fertility and hatchability, whereas winter marsh water levels were associated with earlier nesting dates and increased egg volume. Both winter precipitation (&gt;8 cm mean monthly) and water elevation (&gt;20.3 m above mean sea level or 68% of full marsh surface area or perimeter) greater than a threshold level appeared to be good predictors for successful reproduction in central Florida, but occurred together in only four of ten study period years. Pairs delayed nesting, had smaller eggs, and hatched and fledged fewer chicks in years with low winter water elevation. Low winter precipitation associated with decreased fertility of eggs may explain the failure of fully incubated nests to hatch in some years. Insufficient stimulation of the neuroendocrine system due to limited rainfall and poor physiological condition due to poor food resources in low water marshes are proposed mechanisms for low fertility and delayed nesting and egg size, respectively. Drought appears to encourage birds to use lake edges for nesting which have increased hazards. Thus, conservation of wetlands for cranes should include deep marshes and lake edges with controlled boat usage during the nesting season. Further investigation is recommended for pre-nesting and incubation behaviors, diseases of eggs, and egg volumes.</t>
  </si>
  <si>
    <t>Reproductive success of bald eagles in interior Alaska</t>
  </si>
  <si>
    <t>We compared productivity and nesting success of 2 adjacent populations of bald eagles (Haliaeetus leucocephalus) near the northern limits of their range in interior Alaska during 1989-94. Productivity (x~± SE young fledged/occupied territory) and nesting success differed between populations; pairs in the Gulkana River basin had higher productivity (0.86 ± 0.05, n = 274) and nesting success (59%) than those in the Copper River basin (0.71 ± 0.04, 48%, n = 471; p &lt; 0.02). Productivity varied both annually and spatially within each basin (P &lt; 0.001). However, brood sizes of successful nests were identical for both basins (1.48 ± 0.03), suggesting that variability in productivity resulted largely from differences in nesting success. Patterns of variability in reproductive success within a territory also were similar for both populations. Pairs that were successful one year fledged more offspring, were more likely to be successful, were more likely to reoccupy the same territory, and were less likely to change nest locations the following year compared to pairs that were unsuccessful the previous year (P &lt; 0.025 for all comparisons). Most nesting failure (92%) occurred during incubation when weather conditions tend to be most severe. However, reproductive success was not negatively correlated with severity of spring weather (temp or rainfall) or strongly correlated with prey abundance during brood rearing. We hypothesize that annual and spatial variability in reproductive success of these northern bald eagle populations may be associated with variation in prey availability, especially before and during incubation (Copyright applies to all Abstracts.)</t>
  </si>
  <si>
    <t>Some effects of inclement weather conditions on the survival and condition of bull-headed shrike nestlings</t>
  </si>
  <si>
    <t>ECOLOGICAL RESEARCH</t>
  </si>
  <si>
    <t>Inclement weather struck Japan in 1933, permitting a natural experiment for examining the effect of weather conditions on nesting success and nestling growth of the bull-headed shrike, Lanius bucephalus. Aspects of the breeding biology of bull-headed shrikes in relation to weather conditions and timing of breeding in 1992 and 1993 were examined. The two breeding seasons were divided into two periods, early and late, in each year. While the probability of nest survival in nestling stages during both periods was almost equal, the probability of nest survival in the egg stage during the early period was significantly lower than that during the late period. In 1993, the probability of nestling survival during the late period was significantly lower than during the early period; the late period had larger fluctuations of precipitation and was colder than the same period in 1992. The number of 'disappeared' nestlings positively correlated with mean precipitation per day. The greater part of the disappeared nestlings was the lightest in each brood. Late breeders fledged lighter young than the early breeders. Although shrikes adopted hatching asynchrony, the late breeders could not surmount the unpredictable inclement weather in 1993.</t>
  </si>
  <si>
    <t>Predator‐mediated effects of severe drought associated with poor reproductive success of a seabird in a cross‐ecosystem cascade.</t>
  </si>
  <si>
    <t>Despite the profound impacts of drought on terrestrial productivity in coastal arid ecosystems, only a few studies have addressed how drought can influence ecological cascades across ecosystem boundaries. In this study, we examine the consequences of rainfall pulses and drought that subsequently impact the breeding success of a threatened nocturnal seabird, the Scripps's Murrelet (Synthliboramphus scrippsi). On an island off the coast of southern California, the main cause of reduced nest success for one of their largest breeding colonies is egg predation by an endemic deer mouse (Peromyscus maniculatus elusus). Mice on the island have an opportunistic diet of primarily terrestrial sources, but drastic declines in terrestrial productivity from drought might be expected to increase their reliance on marine resources, including murrelet eggs. We compiled data on terrestrial and marine productivity between 1983 and 2013 to determine how conditions in these ecosystems influence murrelet nest success. We found that the severity of drought had the strongest negative impact on murrelet nest success. We calculated that the reduction in fecundity during drought years due to increased egg predation by mice was substantial enough to produce a declining population growth rate. Nest success was much higher under normal or high rainfall conditions, depending on whether oceanic conditions were favorable to murrelets. Therefore, the more frequent and severe drought that is projected for this region could lead to an increased risk of murrelet population decline on this island. Our study highlights the need for understanding how species interactions will change through the effects of increasing drought and altered rainfall regimes under global change. [ABSTRACT FROM AUTHOR] Copyright of Global Change Biology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</si>
  <si>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Factors influencing productivity of eastern wild turkeys in northeastern South Dakota</t>
  </si>
  <si>
    <t>Population growth is highly sensitive to changes in reproductive rates for many avian species. Understanding how reproductive rates are related to environmental conditions can give managers insight into factors contributing to population change. Harvest trends of eastern wild turkey in northeastern South Dakota suggest a decline in abundance. We investigated factors influencing reproductive success of this important game bird to identify potential factors contributing to the decline. We monitored nesting rate, nest survival, renesting rate, clutch size, hatchability, and poult survival of 116 eastern wild turkey hens using VHF radio transmitters during the springs and summers of 2017 and 2018. Heavier hens were more likely to attempt to nest than lighter hens, and adult hens were more likely to renest than yearling hens. Nest survival probability was lowest in agricultural fields relative to all other cover types and positively related to horizontal visual obstruction and distance to the nearest road. Daily nest survival probability demonstrated an interaction between temperature and precipitation, such that nest survival probability was lower on warm, wet days, but lowest on dry days. Egg predation was the leading cause of nest failure, followed by haying of the nest bowl and death of the incubating hen. Poults reared by adult hens had a greater probability of survival than poults reared by yearling hens. Our estimate of survival probability of poults raised by yearling hens was low relative to other studies, which may be contributing to the apparent regional population decline. However, there is little managers can do to influence poult survival in yearling hens. Alternatively, we found nest survival probability was lowest for nests initiated in agricultural fields. Wildlife-friendly harvesting practices such as delayed haying or installation of flushing bars could help increase productivity of eastern wild turkey in northeastern South Dakota. © 2020 The Authors. Ecology and Evolution published by John Wiley &amp; Sons Ltd</t>
  </si>
  <si>
    <t>Comparative nest survival of three sympatric loon species breeding in the Arctic.</t>
  </si>
  <si>
    <t>Identifying factors influencing nest survival among sympatric species is important for understanding and managing sources of variation in population dynamics of individual species. Three species of loons nest sympatrically in northern Alaska and differ in body size, life history characteristics, and population trends. We tested the effects of competition, nest site selection, and water level variations on nest survival of Pacific Gavia pacifica, yellow‐billed G. adamsii, and red‐throated loons G. stellata on the Arctic Coastal Plain in Alaska. Although overall nest survival rates did not differ between species, the factors influencing nest survival varied. Nest site selection influenced nest survival for Pacific and yellow‐billed loons, with both species having high nest survival when nesting on islands and peninsulas, likely due to a reduction in access by terrestrial predators. However, on mainland shorelines, Pacific loons had lower nest survival than yellow‐billed loons, and used a higher proportion of vegetation mats for nest sites suggesting that their smaller body size makes them less adept at nest defense. Nest site selection did not influence nest survival of red‐throated loons corresponding to our result of no nest site preferences by this species. Initiation date had a strong influence on nest survival for Pacific and yellow‐billed loons with nests laid earlier having higher survival. Pacific and yellow‐billed loon nests were susceptible to flooding due to precipitation, which contrasted with red‐throated loons that nest on smaller lakes with lower water level variations. Competition did not affect nest survival for any of the species likely due to most territorial encounters occurring prior to incubation. The only influence we found on red‐throated loon nest survival was differences among years. Our results indicate that loons chose nest sites based on predation risk and that factors influencing breeding success of closely related species may differ under similar breeding conditions. [ABSTRACT FROM AUTHOR] Copyright of Journal of Avian Biology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</si>
  <si>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Factors limiting reproductive performance and nestling sex ratio in the lesser spotted eagle aquila pomarina at the northern limit of its range: The impact of weather and prey abundance</t>
  </si>
  <si>
    <t>Weather conditions and prey abundance impact many birds, but the influence differs between species and regions. I used 18-year data from Estonia, north-eastern Europe, in order to analyse the comparative effects of these factors on the breeding performance and nestling sex ratio in the Lesser Spotted Eagle. All studied reproductive parameters showed strong inter-annual fluctuations but no significant trends. Breeding frequency (proportion of pairs laying) was positively influenced by a warm pre-laying period (temperature in April) and a wet preceding season. These factors are probably associated with the higher occurrence and activity of amphibians that constituted important prey of the Lesser Spotted Eagle in spring. Breeding success (proportion of successful breeders) was determined mostly by the abundance of voles. Productivity (number of fledglings per nest) depended additively both on the spring temperature and abundance of voles in the breeding season; fledging of two nestlings was recorded regularly, mostly in years with high vole abundance. The total offspring sex ratio was slightly, though non-significantly, female-biased. Annual proportion of female nestlings was positively correlated with reproductive parameters and associated with rain in the preceding season, suggesting determination of fledgling sex ratio prior egg-laying. The results help to explain fluctuations in the reproductive performance of the Lesser Spotted Eagle and should be taken into account when monitoring and managing for conservation of this species.</t>
  </si>
  <si>
    <t>Breeding season shift by the Oahu Elepaio (Chasiempis ibidis) in response to changing rainfall patterns [Cambios en la temporada reproductiva del elepaio de Oahu (Chasiempis ibidis) en respuesta a variaciones en patrones de precipitacion]</t>
  </si>
  <si>
    <t>Anthropogenic climate change is affecting many bird species in a variety of ways, causing changes in their distribution, abundance, and food supply, and triggering responses such as shifting migration and nesting seasons. Most studies have focused on migratory birds that breed in temperate areas and little is known about effects of climate change on tropical birds. We used a 24 year dataset that included 1,632 nesting events of the Oahu Elepaio (Chasiempis ibidis), an endangered forest bird endemic to Hawaii, to investigate whether breeding phenology and performance were related to rainfall and whether a recent shift in the breeding season is related to changes in rainfall. Fecundity of the Oahu Elepaio was closely related to rainfall, with more offspring produced during years with higher rainfall. During the first 19 years of this study, from 1996 to 2014, all nests were initiated from November to June. From 2015 to 2019, up to 33% of annual reproduction occurred from August to October. Higher rainfall caused parallel increases in reproduction during the normal nesting season and the atypical season, with some birds nesting in both seasons. The change in breeding phenology of the Oahu Elepaio is unusual because it was not a gradual transition, but a sudden change of 6 months. The shift in breeding phenology coincided with unusually high summer and fall rainfall from tropical storms associated with a novel climate pattern in the northern Pacific Ocean from late 2014-2016 termed the warm blob. This pattern of warmer water and more frequent storms is expected to become more prevalent in the Central Pacific, so summer-fall breeding in the Oahu Elepaio is likely to continue and perhaps become more common. The Oahu Elepaio is flexible, adaptable, and may not be seriously affected by changing climatic conditions. © 2020 Wilson Ornithological Society. All rights reserved.</t>
  </si>
  <si>
    <t>Breeding characteristics of the `akohekohe (Palmeria dolei) on east Maui</t>
  </si>
  <si>
    <t>This abstract discusses a study conducted on the breeding biology of the endangered species `akohekohe in 1992-1993 in the Waikamoi Reserve, Hawaii. The breeding success of the species was studied in the context of its habitat characteristics, interspecific and intraspecific relationships, and other biotic and abiotic factors. During the course of the study, 24 nests were examined which were constructed in the `ohi`a trees at an elevation of about 1,655 and 1,836 m. The breeding season is from January to June. Observations revealed that the breeding success was higher in the year 1992, when it was drier and the `ohi`a flowers were available. It was also observed that most of the nest failures occurred during the nestling stage. This pattern of success and failure was almost similar in all the years. Chasing of non-conspecifics occurs at nests that fail more often than at successful ones. The study indicated that `apapane were the subject of 46% of chases. Intraspecifc chases are fewer and no chases were witnessed among nonnative species. Weather and predation, especially by short-eared owls, are factors that appear to be responsible for nest failures. Although nectar from the `ohi`a tree seems to be the staple food of these birds, they forage on various other trees also, which is why it is necessary to preserve the forests where they reside (Copyright applies to all Abstracts.)</t>
  </si>
  <si>
    <t>The breeding biology of the Redstart Phoenicurus phoenicurus in a marginal area of Finland</t>
  </si>
  <si>
    <t>The breeding biology of the Redstart was studied in its marginal breeding area in northernmost Finland during the years 1982–1994. The mean clutch size was higher than in more southern populations. Losses during the egg and nestling stages were negligible: hatching success (hatchlings per egg) and fledging success (fledglings per hatchling) were 0.91 and 0.89, respectively. Only heavy rainfall decreased nestling survival. Our results show that population size is stable and breeding success is good in this marginal breeding area compared to other breeding grounds. The population size fluctuated in parallel with the vole cycle as expected if small (mammal) predators switch to taking birds when vole numbers are low. © 1998 British Trust for Ornithology.</t>
  </si>
  <si>
    <t>Landscape features and weather influence nest survival of a ground-nesting bird of conservation concern, the greater sage-grouse, in human-altered environments</t>
  </si>
  <si>
    <t>Ecological Processes</t>
  </si>
  <si>
    <t>Introduction: Ground-nesting birds experience high levels of nest predation. However, birds can make selection decisions related to nest site location and characteristics that may result in physical, visual, and olfactory impediments to predators. Methods: We studied daily survival rate [DSR] of greater sage-grouse (Centrocercus urophasianus) from 2008 to 2010 in an area in Wyoming experiencing large-scale alterations to the landscape. We used generalized linear mixed models to model fixed and random effects, and a correlation within nesting attempts, individual birds, and years. Results: Predation of the nest was the most common source of nest failure (84. 7%) followed by direct predation of the female (13. 6%). Generally, landscape variables at the nest site (≤ 30 m) were more influential on DSR of nests than features at larger spatial scales. Percentage of shrub canopy cover at the nest site (15-m scale) and distances to natural gas wells and mesic areas had a positive relationship with DSR of nests, whereas distance to roads had a negative relationship with DSR of nests. When added to the vegetation model, maximum wind speed on the day of nest failure and a 1-day lag in precipitation (i. e., precipitation the day before failure) improved model fit whereby both variables negatively influenced DSR of nests. Conclusions: Nest site characteristics that reduce visibility (i. e., shrub canopy cover) have the potential to reduce depredation, whereas anthropogenic (i. e., distance to wells) and mesic landscape features appear to facilitate depredation. Last, predators may be more efficient at locating nests under certain weather conditions (i. e., high winds and moisture). © 2012 Webb et al.</t>
  </si>
  <si>
    <t>Breeding biology information, including nest survival estimates, are lacking for many nesting species in Puerto Rico. We studied the endemic Puerto Rican Bullfinch (Loxigilla portoricensis), and modeled daily nest survival to better understand the effects of several factors on daily nest survival. In 2009 and 2010 we monitored 37 bullfinch nests at two sites in southwestern Puerto Rico. Predation was the most important cause of nest failure. Ten nest survival models received approximately equal support. No temporal trends in nest survival were supported over others. Results suggested that available fruit is important for successful nesting, increased precipitation is related to higher nest survival, nest survival varied by site, and increased nest height is related to lower nest survival in bullfinches. Under the top model, daily nest survival rates for each site and nest stage ranged from 0.83-0.86% in 2009 and 0.80-0.93% in 2010. This information on nest survival and factors that influence it increases our understanding of the breeding biology of the bullfinch, and will ultimately help inform future studies and conservation efforts in southwestern Puerto Rico.</t>
  </si>
  <si>
    <t>Causes of variable reproductive performance by Southern Ground-hornbill Bucorvus leadbeateri and implications for management</t>
  </si>
  <si>
    <t>Range occupancy of the cooperatively breeding Southern Ground-Hornbill Bucorvus leadbeateri in South Africa has decreased by 65% in the last three generations and the effective management of the remaining populations is hampered by a lack of fundamental understanding of the factors determining reproductive performance. We examined the influence of social and environmental factors on the species' reproductive success in South Africa using data gathered from 23 groups over eight breeding seasons. Some groups had access to artificial nest-sites, others did not. High rainfall (&gt; 500 mm) over the breeding season led to a decrease in reproductive success, with groups being most successful in years when rain in the vicinity of the nest ranged from 300 to 500 mm. Groups breeding in natural nests were successful only when the proportion of open woodland surrounding the nest-site was high. Those that bred in artificial nests, where overall breeding success was more than twice as high as those in natural nests, were less dependent on the availability of open woodland. Large groups (more than three birds) bred more successfully than groups comprising only two to three individuals. Group size, helper effects and rainfall cannot be managed to increase the productivity of Ground-Hornbills but the fact that the availability of artificial nest-sites and the amount of open woodland around the nest-site both contribute positively to breeding performance identifies practical and simple management options for increasing the reproductive output of Southern Ground-Hornbill populations. © 2013 British Ornithologists' Union.</t>
  </si>
  <si>
    <t>Importance of climatic and environmental change in the demography of a multi-brooded passerine, the woodlark Lullula arborea</t>
  </si>
  <si>
    <t>1. We examined the influence of local weather conditions on reproductive success, timing of breeding and survival in a population of a multi-brooded ground nesting passerine (woodlark Lullula arborea) over 35 years. 2. Woodlarks laid larger clutches when rainfall was low and temperature high during the egg-laying and pre-laying period. Nest success increased with higher temperatures during the nesting period. In successful nests, the number of chicks fledged per egg laid was greater when weather was drier during the brood stage. 3. Although woodlarks bred earlier in years with warmer early spring temperatures, with the onset of breeding varying by 25 days, there was no significant advance in the onset of breeding over the 35 years of study, due to considerable inter-annual variability, and no overall trend, in weather. 4. Simulation modelling of annual reproductive output demonstrated that earlier breeding could increase productivity by 235% in the warmest compared to the coldest year, due to birds having more nesting attempts. Other effects of weather on productivity affected breeding output to a lesser extent. 5. Effects of weather on productivity were minor compared to an increased rate of nest predation through the period of study, which reduced productivity by 498% by 2004 compared to 1971. 6. Turning points analysis identified three distinct demographic periods: from1971 to 1988 the population grew slowly, during 1988-1999 the population grew rapidly, but after 1999 the population declined. Increased population growth after 1988 was associated with higher first-year survival rates (estimated using a population model). Population decline after 1999 was caused by a combination of reduced productivity (resulting from increased nest failure rates attributed to predation) and lower first-year survival rates, that appear unrelated to winter temperature. 7. Climate change (long-term changes in weather) did not explain the marked changes observed in the population trajectory over 35 years. We suggest that understanding effects of both climate and habitat change on populations is essential in predictive population modelling. © 2009 British Ecological Society.</t>
  </si>
  <si>
    <t>No</t>
  </si>
  <si>
    <t>AbstractExcluded?</t>
  </si>
  <si>
    <t>Full-textScreenExcluded?</t>
  </si>
  <si>
    <t>ExclusionReason</t>
  </si>
  <si>
    <t>NA</t>
  </si>
  <si>
    <t>QualitativeAnalysis</t>
  </si>
  <si>
    <t>QuantitativeAnalysis</t>
  </si>
  <si>
    <t>Breeding success was recorded for three Peregrine Falcon, Falco peregrinus, populations in South Africa over nine years, and for Peregrine and Lanner Falcon, Ebiarmicus, populations in an area of sympatry over three years. The objectives of the study were to measure geographic and interspecific variation in reproductive performance, and determine environmental correlates of productivity. Territory occupancy, the frequency of breeding per occupied territory and clutch size did not vary significantly between the three Peregrine populations. However, Peregrine breeding success was generally lower on the Cape Peninsula (1. 11 young fledged per territorial poir), higher in the Soutpansberg (1.36) and highest on the Orange River (1.70). Overall, fledging rates of Soutpansberg Peregrines and Lanners were not significantly different, although annual productivity of the Lonner population was consistently higher. Neither species' breeding success was significantly depressed by the presence of close neighbouring pairs of the other, suggesting that they were not active competitors. Breeding performance of Peregrines on the Cape Peninsula correlated strongly with spring weather conditions: egg and hatchling survival was lower in wet years, and fledging rates were higher in warm years. Annual productivity of Orange River Peregrines correlated positively with the height of the river at the onset of breeding, and productivity of Soutpansberg Peregrines was higher in seasons following years of high rainfall. Elements of the physical structure of the nesting habitat (exposure of the nest ledge, height of the nest cliff) correlated positively with Peregrine breeding performance. Breeding success of Soutpansberg Lanners was largely unaffected by any of the environmental variables considered. Overall, it is proposed that Peregrine productivity reflected variation in the physical environment and its affect on prey availability.</t>
  </si>
  <si>
    <t>Gruidae</t>
  </si>
  <si>
    <t>grasslands</t>
  </si>
  <si>
    <t>pos</t>
  </si>
  <si>
    <t>NR</t>
  </si>
  <si>
    <t>indirect</t>
  </si>
  <si>
    <t>open</t>
  </si>
  <si>
    <t>y</t>
  </si>
  <si>
    <t>platform</t>
  </si>
  <si>
    <t>P</t>
  </si>
  <si>
    <t>Yes</t>
  </si>
  <si>
    <t>Anatidae</t>
  </si>
  <si>
    <t>none</t>
  </si>
  <si>
    <t>scrape</t>
  </si>
  <si>
    <t>U</t>
  </si>
  <si>
    <t>Falconidae</t>
  </si>
  <si>
    <t>Falco</t>
  </si>
  <si>
    <t>peregrinus</t>
  </si>
  <si>
    <t>Peregrine Falcon</t>
  </si>
  <si>
    <t>tundra</t>
  </si>
  <si>
    <t>2009-2010</t>
  </si>
  <si>
    <t>nestling survival</t>
  </si>
  <si>
    <t>neg</t>
  </si>
  <si>
    <t>nestlings</t>
  </si>
  <si>
    <t>direct</t>
  </si>
  <si>
    <t>n</t>
  </si>
  <si>
    <t>A</t>
  </si>
  <si>
    <t>B</t>
  </si>
  <si>
    <t>Otididae</t>
  </si>
  <si>
    <t>Chlamydotis</t>
  </si>
  <si>
    <t>undulata</t>
  </si>
  <si>
    <t>Houbara Bustard</t>
  </si>
  <si>
    <t>desert</t>
  </si>
  <si>
    <t>1996-2016</t>
  </si>
  <si>
    <t>model-averaged coefficients</t>
  </si>
  <si>
    <t>nests</t>
  </si>
  <si>
    <t>varied</t>
  </si>
  <si>
    <t>Laniidae</t>
  </si>
  <si>
    <t>Lanius</t>
  </si>
  <si>
    <t>Loggerhead Shrike</t>
  </si>
  <si>
    <t>2007-2012</t>
  </si>
  <si>
    <t>winter and breeding season precip had a positive relationship with nest success, likely through indirect effects such as prey availability and predator abundance</t>
  </si>
  <si>
    <t>nest success</t>
  </si>
  <si>
    <t>winter precip, breeding season precip</t>
  </si>
  <si>
    <t>cup</t>
  </si>
  <si>
    <t>Accipitridae</t>
  </si>
  <si>
    <t>Hieraaetus</t>
  </si>
  <si>
    <t>pennatus</t>
  </si>
  <si>
    <t>Booted Eagle</t>
  </si>
  <si>
    <t>2008-2012</t>
  </si>
  <si>
    <t>tested effects of rainfall on productivity; results varied across sites but authors concluded no sig effects on productivity</t>
  </si>
  <si>
    <t>productivity</t>
  </si>
  <si>
    <t>rainfall during various chick ages</t>
  </si>
  <si>
    <t>Passerellidae</t>
  </si>
  <si>
    <t>Ammospiza</t>
  </si>
  <si>
    <t>maritima</t>
  </si>
  <si>
    <t>Seaside Sparrow</t>
  </si>
  <si>
    <t>2002-2008</t>
  </si>
  <si>
    <t>daily nest survival</t>
  </si>
  <si>
    <t>Odontophoridae</t>
  </si>
  <si>
    <t>Colinus</t>
  </si>
  <si>
    <t>virginianus</t>
  </si>
  <si>
    <t>Northern Bobwhite</t>
  </si>
  <si>
    <t>2012-2015</t>
  </si>
  <si>
    <t>nest survival</t>
  </si>
  <si>
    <t>punctatus</t>
  </si>
  <si>
    <t>forest</t>
  </si>
  <si>
    <t>1990-2009</t>
  </si>
  <si>
    <t>closed</t>
  </si>
  <si>
    <t>cavity</t>
  </si>
  <si>
    <t>Ploceidae</t>
  </si>
  <si>
    <t>Philetairus</t>
  </si>
  <si>
    <t>socius</t>
  </si>
  <si>
    <t>Sociable Weaver</t>
  </si>
  <si>
    <t>1990-2001</t>
  </si>
  <si>
    <t>nesting attempts</t>
  </si>
  <si>
    <t>Troglodytidae</t>
  </si>
  <si>
    <t>Cistothorus</t>
  </si>
  <si>
    <t>palustris</t>
  </si>
  <si>
    <t>Marsh Wren</t>
  </si>
  <si>
    <t>coastal</t>
  </si>
  <si>
    <t>2015-2017</t>
  </si>
  <si>
    <t>domed</t>
  </si>
  <si>
    <t>Anser</t>
  </si>
  <si>
    <t>1989-2004</t>
  </si>
  <si>
    <t>Charadriidae</t>
  </si>
  <si>
    <t>Charadrius</t>
  </si>
  <si>
    <t>montanus</t>
  </si>
  <si>
    <t>Mountain Plover</t>
  </si>
  <si>
    <t>1995-2000</t>
  </si>
  <si>
    <t>nest survival decreases following precip because snakes (nest predators) are more active following precip</t>
  </si>
  <si>
    <t>daily precipitation</t>
  </si>
  <si>
    <t>2001-2006</t>
  </si>
  <si>
    <t>DSR ~ time + 10DayDrought + MaxTemp; likely mediated through nest predators that are more active after rain</t>
  </si>
  <si>
    <t>10 days with less than 1mm of rainfall</t>
  </si>
  <si>
    <t>Acrocephalidae</t>
  </si>
  <si>
    <t>arundinaceus</t>
  </si>
  <si>
    <t>1970-2007</t>
  </si>
  <si>
    <t>study period not consistent - 14 breeding seasons between 1970-2007; precip not associated with nest failure (i.e., 1-nest success) but negative correlation between young produced and May-July precip</t>
  </si>
  <si>
    <t>nest failure</t>
  </si>
  <si>
    <t>weather and eggs-to-fledgling survival rate; chicks are semi-precocial, categorized at altricial</t>
  </si>
  <si>
    <t>ciconia</t>
  </si>
  <si>
    <t>White Stork</t>
  </si>
  <si>
    <t>2001-2012</t>
  </si>
  <si>
    <t>eggs-to-fledgling survival rate</t>
  </si>
  <si>
    <t>Ammodramus</t>
  </si>
  <si>
    <t>savannarum</t>
  </si>
  <si>
    <t>Grasshopper Sparrow</t>
  </si>
  <si>
    <t>2011-2013</t>
  </si>
  <si>
    <t>daily nest survival decreased with previous growing season precip and precip over 10mm 2 days prior</t>
  </si>
  <si>
    <t>both</t>
  </si>
  <si>
    <t>2011-2012</t>
  </si>
  <si>
    <t>Ptyonoprogne</t>
  </si>
  <si>
    <t>rupestris</t>
  </si>
  <si>
    <t>1994-1999</t>
  </si>
  <si>
    <t>breeding success</t>
  </si>
  <si>
    <t>rainfall in the period before laying and during incubtion period had no impact on breeding success; rainfall was summarized as a mean during a ten-day period</t>
  </si>
  <si>
    <t>mean 10-day rainfall during incubation</t>
  </si>
  <si>
    <t>Eurasian Crag-Martin</t>
  </si>
  <si>
    <t>Hirundinidae</t>
  </si>
  <si>
    <t>Rough-legged Hawk</t>
  </si>
  <si>
    <t>Buteo</t>
  </si>
  <si>
    <t>lagopus</t>
  </si>
  <si>
    <t>2007-2015</t>
  </si>
  <si>
    <t>Lat</t>
  </si>
  <si>
    <t>Long</t>
  </si>
  <si>
    <t>nesting success (i.e. the probability of producing at least one 14-day-old chick among all active nests) decreases with more rain during chick-rearing period</t>
  </si>
  <si>
    <t>spring rainfall (i.e. cumulative rainfall between February and April was not associated with nesting success (i.e. the probability that at least one young will reach the age it would be able to escape by walking), but was associated with clutch size and total # of nests</t>
  </si>
  <si>
    <t>Little Egret</t>
  </si>
  <si>
    <t>wetlands</t>
  </si>
  <si>
    <t>1970-1998</t>
  </si>
  <si>
    <t>Egretta</t>
  </si>
  <si>
    <t>garzetta</t>
  </si>
  <si>
    <t>Ardeidae</t>
  </si>
  <si>
    <t>lat/long and elevation estimated from site description</t>
  </si>
  <si>
    <t>females</t>
  </si>
  <si>
    <t>location estimated based on site description</t>
  </si>
  <si>
    <t>2005-2011</t>
  </si>
  <si>
    <t>Phasianidae</t>
  </si>
  <si>
    <t>Centrocercus</t>
  </si>
  <si>
    <t>urophasianus</t>
  </si>
  <si>
    <t>Snail Kite</t>
  </si>
  <si>
    <t>1986-1987</t>
  </si>
  <si>
    <t>lat/long estimated from site description</t>
  </si>
  <si>
    <t>Rostrhamus</t>
  </si>
  <si>
    <t>sociabilis</t>
  </si>
  <si>
    <t>Report</t>
  </si>
  <si>
    <t>Black-crowned Night-heron</t>
  </si>
  <si>
    <t>2010-2012</t>
  </si>
  <si>
    <t>Nycticorax</t>
  </si>
  <si>
    <t>bowl</t>
  </si>
  <si>
    <t>Campo Miner</t>
  </si>
  <si>
    <t>Furnariidae</t>
  </si>
  <si>
    <t>Geositta</t>
  </si>
  <si>
    <t>poeciloptera</t>
  </si>
  <si>
    <t>burrow</t>
  </si>
  <si>
    <t>2014-2016, 2019</t>
  </si>
  <si>
    <t>model with rainfall is the only model that ranked worse than null model in AIC; hypothesized that more rainfall would reduce predator activity</t>
  </si>
  <si>
    <t>calculated number of eggs that hatched &amp; number of nestlings that fledged, but not nest survival; found that rainfall impacts both of these periods</t>
  </si>
  <si>
    <t>briefly mention precip related to nesting parameters at a daily scale and also precip totals for 15, 30, and 45 days prior to the nesting model; lat/long estimated from description of study site</t>
  </si>
  <si>
    <t>number of young fledged was related positively correlated with rainfall five months prior to the peak fledging month; article primarily a discussion of warnings against comparing repro data across sites</t>
  </si>
  <si>
    <t>total rainfall during the five months prior to onset of nesting</t>
  </si>
  <si>
    <t>intermedia</t>
  </si>
  <si>
    <t>1987-1988</t>
  </si>
  <si>
    <t>riparian</t>
  </si>
  <si>
    <t>Tree Swallow</t>
  </si>
  <si>
    <t>Tachycineta</t>
  </si>
  <si>
    <t>bicolor</t>
  </si>
  <si>
    <t>elevation estimated from site description</t>
  </si>
  <si>
    <t>also assessed Great, Cattle, and Little Egrets and no relationship with rainfall found; elevation estimated from site description</t>
  </si>
  <si>
    <t>hatching success</t>
  </si>
  <si>
    <t>model-averaged parameter estimate</t>
  </si>
  <si>
    <t>fledging success</t>
  </si>
  <si>
    <t>total rainfall 5 days prior to clutch initiation</t>
  </si>
  <si>
    <t>Great Tit</t>
  </si>
  <si>
    <t>rain included in top ranked model by AIC, but parameter estimates not reported</t>
  </si>
  <si>
    <t>Paridae</t>
  </si>
  <si>
    <t>Parus</t>
  </si>
  <si>
    <t>major</t>
  </si>
  <si>
    <t>breeding pairs</t>
  </si>
  <si>
    <t>Eurasian Tree Sparrow</t>
  </si>
  <si>
    <t>Passer</t>
  </si>
  <si>
    <t>urban</t>
  </si>
  <si>
    <t>2012-2013</t>
  </si>
  <si>
    <t>Passeridae</t>
  </si>
  <si>
    <t>breeding attempts</t>
  </si>
  <si>
    <t>broods</t>
  </si>
  <si>
    <t>clutches</t>
  </si>
  <si>
    <t>Bucorvus</t>
  </si>
  <si>
    <t>leadbeateri</t>
  </si>
  <si>
    <t>minor</t>
  </si>
  <si>
    <t>Southern Ground-Hornbill</t>
  </si>
  <si>
    <t>Bucorvidae</t>
  </si>
  <si>
    <t>C</t>
  </si>
  <si>
    <t>2002-2015</t>
  </si>
  <si>
    <t>breeding season rain (units of 100mm)</t>
  </si>
  <si>
    <t>odds ratio</t>
  </si>
  <si>
    <t>Aphelocoma</t>
  </si>
  <si>
    <t>coerulescens</t>
  </si>
  <si>
    <t>Corvidae</t>
  </si>
  <si>
    <t>1988-2008</t>
  </si>
  <si>
    <t>also assessed rainfall in 6 &amp; 10 months prior to breeding season, but neither were in AIC top ranked model</t>
  </si>
  <si>
    <t>rainfall 3 months prior to breeding season (cm)</t>
  </si>
  <si>
    <t>B/C</t>
  </si>
  <si>
    <t>change in deviance</t>
  </si>
  <si>
    <t>Lesser Spotted Woodpecker</t>
  </si>
  <si>
    <t>Dryobates</t>
  </si>
  <si>
    <t>Picidae</t>
  </si>
  <si>
    <t>2007-2009</t>
  </si>
  <si>
    <t>lat/long/elevation estimated from site description &amp; centroid estimated</t>
  </si>
  <si>
    <t>tinnunculus</t>
  </si>
  <si>
    <t>Eurasian Kestrel</t>
  </si>
  <si>
    <t>1999-2006</t>
  </si>
  <si>
    <t>Spearman correlation</t>
  </si>
  <si>
    <t>amount of rainfall during the breeding season (March 1-July 31)</t>
  </si>
  <si>
    <t>1998-1999</t>
  </si>
  <si>
    <t>flooding/hail</t>
  </si>
  <si>
    <t>some nests failed due to flooding and hail, but no direct analyses of precip and nest failures; lat/long estimated from site description</t>
  </si>
  <si>
    <t>American Avocet</t>
  </si>
  <si>
    <t>Black-necked Stilt</t>
  </si>
  <si>
    <t>Killdeer</t>
  </si>
  <si>
    <t>Recurvirostra</t>
  </si>
  <si>
    <t>americana</t>
  </si>
  <si>
    <t>Recurvirostridae</t>
  </si>
  <si>
    <t>Himantopus</t>
  </si>
  <si>
    <t>mexicanus</t>
  </si>
  <si>
    <t>Snowy Plover</t>
  </si>
  <si>
    <t>vociferus</t>
  </si>
  <si>
    <t>nivosus</t>
  </si>
  <si>
    <t>interaction between rainfall and cooperative care; with helpers, repro success was constant among variation in environmental conditions; positive relationship between fledgling condition and rainfall, but no relationship between rainfall and fledging success</t>
  </si>
  <si>
    <t>Song Sparrow</t>
  </si>
  <si>
    <t>1975-2014</t>
  </si>
  <si>
    <t>cumulative rainfall (mm) during the nesting period</t>
  </si>
  <si>
    <t>Melospiza</t>
  </si>
  <si>
    <t>melodia</t>
  </si>
  <si>
    <t>breeding season rainfall (October - April)</t>
  </si>
  <si>
    <t>F-test</t>
  </si>
  <si>
    <t>zoo</t>
  </si>
  <si>
    <t>1990-2013</t>
  </si>
  <si>
    <t>Ciconiidae</t>
  </si>
  <si>
    <t>Ciconia</t>
  </si>
  <si>
    <t>Collared Flycatcher</t>
  </si>
  <si>
    <t>Ficedula</t>
  </si>
  <si>
    <t>albicollis</t>
  </si>
  <si>
    <t>1988-1999, 2002-2019</t>
  </si>
  <si>
    <t>Muscisapidae</t>
  </si>
  <si>
    <t>Aegypius</t>
  </si>
  <si>
    <t>monachus</t>
  </si>
  <si>
    <t>Cinereous vulture</t>
  </si>
  <si>
    <t>1989-1998</t>
  </si>
  <si>
    <t>parameter estimate</t>
  </si>
  <si>
    <t>1993-1998</t>
  </si>
  <si>
    <t>1991-2018</t>
  </si>
  <si>
    <t>missing data for 2001</t>
  </si>
  <si>
    <t>hypoleuca</t>
  </si>
  <si>
    <t>European Pied-Flycatcher</t>
  </si>
  <si>
    <t>maximum number of consecutive rainy days during nestling period</t>
  </si>
  <si>
    <t>maximum number of consecutive rainy days during incubation period</t>
  </si>
  <si>
    <t>summarized temp and precip over arrival weeks; eggs-to-flegling rate model containted many variables of temperature and precip; precip variables: maxP_AW1 (the maximum of the daily sums of precip within an arrival week (mm)), consecP_AW9 (the maximum numbers of consecutive days with precip &gt;0mm within an AW (days), AW9 is when nestlings are presumed to be 3 weeks old), and maxP_AW10 (the maximum values of daily sums of precip within an AW (mm), AW 10 is when nestlings are presumed to be 4 weeks old); effects likely via food</t>
  </si>
  <si>
    <t>2003, 2005-2010, 2012</t>
  </si>
  <si>
    <t>cumulative amount of precipitation on each day of the nesting season (mm)</t>
  </si>
  <si>
    <t>Northern Goshawk</t>
  </si>
  <si>
    <t>1992-2002</t>
  </si>
  <si>
    <t>Lesser Prairie-chicken</t>
  </si>
  <si>
    <t>Tympanuchus</t>
  </si>
  <si>
    <t>pallidicinctus</t>
  </si>
  <si>
    <t>2002-2003</t>
  </si>
  <si>
    <t>daily precipitation (cm)</t>
  </si>
  <si>
    <t>Red-cockaded Woodpecker</t>
  </si>
  <si>
    <t>partial brood loss</t>
  </si>
  <si>
    <t>1991-2013</t>
  </si>
  <si>
    <t>1992-2016</t>
  </si>
  <si>
    <t>highest daily precipitation value within the 11-day period following nest initiation</t>
  </si>
  <si>
    <t>highest daily precipitation value within the 7-day period prior to nest initiation</t>
  </si>
  <si>
    <t>borealis</t>
  </si>
  <si>
    <t>Ring-necked Pheasant</t>
  </si>
  <si>
    <t>2006-2011</t>
  </si>
  <si>
    <t>Phasianus</t>
  </si>
  <si>
    <t>colchicus</t>
  </si>
  <si>
    <t>2002-2006</t>
  </si>
  <si>
    <t>Jynx</t>
  </si>
  <si>
    <t>torquilla</t>
  </si>
  <si>
    <t>Bald Eagle</t>
  </si>
  <si>
    <t>daily deviation from mean rainfall</t>
  </si>
  <si>
    <t>1989-1993</t>
  </si>
  <si>
    <t>Haliaeetus</t>
  </si>
  <si>
    <t>leucocephalus</t>
  </si>
  <si>
    <t>annual fledging success</t>
  </si>
  <si>
    <t>1975-2002</t>
  </si>
  <si>
    <t>Tufted Puffin</t>
  </si>
  <si>
    <t>Alcidae</t>
  </si>
  <si>
    <t>Fratercula</t>
  </si>
  <si>
    <t>cirrhata</t>
  </si>
  <si>
    <t>2011-2015</t>
  </si>
  <si>
    <t>Red-backed Shrike</t>
  </si>
  <si>
    <t>1999-2003, 2012-2018</t>
  </si>
  <si>
    <t>collurio</t>
  </si>
  <si>
    <t>shrublands</t>
  </si>
  <si>
    <t>Sarus Crane</t>
  </si>
  <si>
    <t>Black-necked Stork</t>
  </si>
  <si>
    <t>paper primarily about comparing a contaminated and uncontaminated site; f-stats compare rainfall effects on nest success between sites</t>
  </si>
  <si>
    <t>no significant relationship between precip and nest success, but precip affected number of young fledged; study period in Arkansas = 1991-2013, study period in Oklahoma = 1992-2016; parameter estimates obtained from supp. Materials. Took top ranked model including precip and extracted parameter estimates</t>
  </si>
  <si>
    <t>1999-2010</t>
  </si>
  <si>
    <t>pairs</t>
  </si>
  <si>
    <t>Antigone</t>
  </si>
  <si>
    <t>antigone</t>
  </si>
  <si>
    <t>Ephippiorhynchus</t>
  </si>
  <si>
    <t>asiaticus</t>
  </si>
  <si>
    <t>correlation</t>
  </si>
  <si>
    <t>1996-2017</t>
  </si>
  <si>
    <t>canyon</t>
  </si>
  <si>
    <t>Black Swift</t>
  </si>
  <si>
    <t>Apodidae</t>
  </si>
  <si>
    <t>Cypseloides</t>
  </si>
  <si>
    <t>niger</t>
  </si>
  <si>
    <t>size of brood shortly before fledging</t>
  </si>
  <si>
    <t>February-April rainfall (mm)</t>
  </si>
  <si>
    <t>1968-1992</t>
  </si>
  <si>
    <t>Eclectus</t>
  </si>
  <si>
    <t>assessed effects of weather, contamination, and interactive effects on repro output; only relationships found between temp and repro output</t>
  </si>
  <si>
    <t>2005-2007</t>
  </si>
  <si>
    <t>lagged SPEI -&gt; veg characteristics in following year -&gt; nest survival</t>
  </si>
  <si>
    <t>albus</t>
  </si>
  <si>
    <t>rainforest</t>
  </si>
  <si>
    <t>hatching success for two-egg nests</t>
  </si>
  <si>
    <t>1981-2008</t>
  </si>
  <si>
    <t>Rallidae</t>
  </si>
  <si>
    <t>Porphyrio</t>
  </si>
  <si>
    <t>hochstetteri</t>
  </si>
  <si>
    <t>South Island Takahe</t>
  </si>
  <si>
    <t>breeding years</t>
  </si>
  <si>
    <t>June-December rainfall</t>
  </si>
  <si>
    <t>rainfall impacted ability for cavity to stay dry; more rain -&gt; more flooded hollows -&gt; lower fledge %</t>
  </si>
  <si>
    <t>Eclectus Parrot</t>
  </si>
  <si>
    <t>1997-2005</t>
  </si>
  <si>
    <t>roratus</t>
  </si>
  <si>
    <t>Psittaculidae</t>
  </si>
  <si>
    <t>Great Egret</t>
  </si>
  <si>
    <t>White Ibis</t>
  </si>
  <si>
    <t>2006-2007</t>
  </si>
  <si>
    <t>2006-2008</t>
  </si>
  <si>
    <t>alba</t>
  </si>
  <si>
    <t>Threskiornithidae</t>
  </si>
  <si>
    <t>Eudocimus</t>
  </si>
  <si>
    <t>1990-2012</t>
  </si>
  <si>
    <t>breeding events</t>
  </si>
  <si>
    <t>1993-2002</t>
  </si>
  <si>
    <t>Wilson's Plover</t>
  </si>
  <si>
    <t>2003-2004</t>
  </si>
  <si>
    <t>2003-2005</t>
  </si>
  <si>
    <t>wilsonia</t>
  </si>
  <si>
    <t>path coefficient</t>
  </si>
  <si>
    <t>complex relationships tested in artic system using a path model</t>
  </si>
  <si>
    <t>cumulative precipitation throughout nesting period</t>
  </si>
  <si>
    <t>Snow Goose</t>
  </si>
  <si>
    <t>caerulescens</t>
  </si>
  <si>
    <t>Great Spotted Woodpecker</t>
  </si>
  <si>
    <t>Middle Spotted Woodpecker</t>
  </si>
  <si>
    <t>2002-2004</t>
  </si>
  <si>
    <t>medius</t>
  </si>
  <si>
    <t>Dendrocopos</t>
  </si>
  <si>
    <t>Dendrocoptes</t>
  </si>
  <si>
    <t>negative effects of rainfall on fledging success, but only significant relationship in fragmented habitats</t>
  </si>
  <si>
    <t>1997-2001</t>
  </si>
  <si>
    <t>2010-2014</t>
  </si>
  <si>
    <t>ibis</t>
  </si>
  <si>
    <t>YearAsRainfallProxy?</t>
  </si>
  <si>
    <t>NestRelatedParams?</t>
  </si>
  <si>
    <t>1982-1995, 2008-2010</t>
  </si>
  <si>
    <t>Wild Turkey</t>
  </si>
  <si>
    <t>precipitation over previous 9-14 days</t>
  </si>
  <si>
    <t>2009-2012</t>
  </si>
  <si>
    <t>Meleagris</t>
  </si>
  <si>
    <t>gallopavo</t>
  </si>
  <si>
    <t>Mountain Bluebird</t>
  </si>
  <si>
    <t>nest boxes with a hole opening had higher nest success than those with a slot opening, but no relationships found between fledging success and precip</t>
  </si>
  <si>
    <t>Turdidae</t>
  </si>
  <si>
    <t>Sialia</t>
  </si>
  <si>
    <t>currucoides</t>
  </si>
  <si>
    <t>1991-1992</t>
  </si>
  <si>
    <t>rainfall in the month before fledging</t>
  </si>
  <si>
    <t>Phacellodomus</t>
  </si>
  <si>
    <t>rufifrons</t>
  </si>
  <si>
    <t>Rufous-fronted Thornbird</t>
  </si>
  <si>
    <t>Greater Prairie-Chicken</t>
  </si>
  <si>
    <t>2011-2019</t>
  </si>
  <si>
    <t>extreme rainfall (24-hr rainfall &gt; 2 SD above seasonal average)</t>
  </si>
  <si>
    <t>nesting season drought (SPEI when females are on the nest)</t>
  </si>
  <si>
    <t>cupido</t>
  </si>
  <si>
    <t>Diet_Inverts</t>
  </si>
  <si>
    <t>Diet_Plant</t>
  </si>
  <si>
    <t>Diet_Mammals</t>
  </si>
  <si>
    <t>Diet_Fish</t>
  </si>
  <si>
    <t>Diet_Birds</t>
  </si>
  <si>
    <t>Diet_Fruit</t>
  </si>
  <si>
    <t>Diet_Reptiles</t>
  </si>
  <si>
    <t>Diet_Amphibians</t>
  </si>
  <si>
    <t>Diet_Carrion</t>
  </si>
  <si>
    <t>1975-2004</t>
  </si>
  <si>
    <t>the rainiest 4-day interval during the incubation period</t>
  </si>
  <si>
    <t>nests with at least one fledgling</t>
  </si>
  <si>
    <t>2003-2007, 2010-2011</t>
  </si>
  <si>
    <t>Horned Lark</t>
  </si>
  <si>
    <t>Savannah Sparrow</t>
  </si>
  <si>
    <t>Eremophila</t>
  </si>
  <si>
    <t>alpestris</t>
  </si>
  <si>
    <t>Passerculus</t>
  </si>
  <si>
    <t>sandwichensis</t>
  </si>
  <si>
    <t>2003-2004, 2006-2007</t>
  </si>
  <si>
    <t>storm (&gt;10mm of precip within 24 hours)</t>
  </si>
  <si>
    <t>2 or more consecutive days of precipitation</t>
  </si>
  <si>
    <t>Alaudidae</t>
  </si>
  <si>
    <t>Louisiana Waterthrush</t>
  </si>
  <si>
    <t>2002-2005</t>
  </si>
  <si>
    <t>Parulidae</t>
  </si>
  <si>
    <t>Parkesia</t>
  </si>
  <si>
    <t>motacilla</t>
  </si>
  <si>
    <t>winter precipitation</t>
  </si>
  <si>
    <t>2002-2019</t>
  </si>
  <si>
    <t>Bobolink</t>
  </si>
  <si>
    <t>NAO April</t>
  </si>
  <si>
    <t>ENSO February to April</t>
  </si>
  <si>
    <t>average daily precipitation on breeding grounds May-August</t>
  </si>
  <si>
    <t>Icteridae</t>
  </si>
  <si>
    <t>Dolichonyx</t>
  </si>
  <si>
    <t>oryzivorus</t>
  </si>
  <si>
    <t>pendulous</t>
  </si>
  <si>
    <t>1974-1982</t>
  </si>
  <si>
    <t>2008-2016</t>
  </si>
  <si>
    <t>2008-2011</t>
  </si>
  <si>
    <t>spearman's rho</t>
  </si>
  <si>
    <t>merula</t>
  </si>
  <si>
    <t>Turdus</t>
  </si>
  <si>
    <t>2003-2011</t>
  </si>
  <si>
    <t>Eurasian Blackbird</t>
  </si>
  <si>
    <t>2017-2018</t>
  </si>
  <si>
    <t>Sharp-tailed Grouse</t>
  </si>
  <si>
    <t>phasianellus</t>
  </si>
  <si>
    <t>Marabou Stork</t>
  </si>
  <si>
    <t>Leptoptilos</t>
  </si>
  <si>
    <t>crumenifer</t>
  </si>
  <si>
    <t>2003-2008</t>
  </si>
  <si>
    <t>rainfall during the breeding season (October - March)</t>
  </si>
  <si>
    <t>Red-shouldered Hawk</t>
  </si>
  <si>
    <t>percentage of no-rain days, September-December</t>
  </si>
  <si>
    <t>lineatus</t>
  </si>
  <si>
    <t>Pyrocephalus</t>
  </si>
  <si>
    <t>nanus</t>
  </si>
  <si>
    <t>2014-2016</t>
  </si>
  <si>
    <t>quad</t>
  </si>
  <si>
    <t>0.033 (first order), -0.00008 (second order)</t>
  </si>
  <si>
    <t>0.009 (first order), 0.00003 (second order)</t>
  </si>
  <si>
    <t>Brujo Flycatcher</t>
  </si>
  <si>
    <t>Tyrannidae</t>
  </si>
  <si>
    <t>2001-2003</t>
  </si>
  <si>
    <t>Eastern Kingbird</t>
  </si>
  <si>
    <t>Tyrannus</t>
  </si>
  <si>
    <t>tyrannus</t>
  </si>
  <si>
    <t>2002-2011</t>
  </si>
  <si>
    <t>Pearson product-moment correlation</t>
  </si>
  <si>
    <t>Western Bluebird</t>
  </si>
  <si>
    <t>Ash-throated Flycatcher</t>
  </si>
  <si>
    <t>1997-2013</t>
  </si>
  <si>
    <t>1997-2014</t>
  </si>
  <si>
    <t>1997-2015</t>
  </si>
  <si>
    <t>years</t>
  </si>
  <si>
    <t>monthly precipitation</t>
  </si>
  <si>
    <t>PDSI</t>
  </si>
  <si>
    <t>mexicana</t>
  </si>
  <si>
    <t>Myiarchus</t>
  </si>
  <si>
    <t>cinerascens</t>
  </si>
  <si>
    <t>2011-2014</t>
  </si>
  <si>
    <t>Calandrella</t>
  </si>
  <si>
    <t>cinerea</t>
  </si>
  <si>
    <t>annual rainfall</t>
  </si>
  <si>
    <t>1992-1994</t>
  </si>
  <si>
    <t>Numididae</t>
  </si>
  <si>
    <t>Numida</t>
  </si>
  <si>
    <t>meleagris</t>
  </si>
  <si>
    <t>pallidus</t>
  </si>
  <si>
    <t>Helmeted Guineafowl</t>
  </si>
  <si>
    <t>Scaled Quail</t>
  </si>
  <si>
    <t>Spotted Owl</t>
  </si>
  <si>
    <t>1990-1998</t>
  </si>
  <si>
    <t>Strigidae</t>
  </si>
  <si>
    <t>Strix</t>
  </si>
  <si>
    <t>occidentalis</t>
  </si>
  <si>
    <t xml:space="preserve"> -1.41 (first order), 0.120 (second order)</t>
  </si>
  <si>
    <t>0.34.6 (first order), 0.038 (second order)</t>
  </si>
  <si>
    <t>parameter estimates</t>
  </si>
  <si>
    <t>Northern Wheatear</t>
  </si>
  <si>
    <t>Oenanthe</t>
  </si>
  <si>
    <t>oenanthe</t>
  </si>
  <si>
    <t>1994-2012</t>
  </si>
  <si>
    <t>Muscicapidae</t>
  </si>
  <si>
    <t>2008-2010</t>
  </si>
  <si>
    <t>Pearson's correlation</t>
  </si>
  <si>
    <t>Montserrat Oriole</t>
  </si>
  <si>
    <t>Icterus</t>
  </si>
  <si>
    <t>oberi</t>
  </si>
  <si>
    <t>2001-2005</t>
  </si>
  <si>
    <t>total rainfall 3-months prior to breeding season (January-March)</t>
  </si>
  <si>
    <t>1992-1996</t>
  </si>
  <si>
    <t>2001-2007</t>
  </si>
  <si>
    <t>nestling survival measured as fledglings/hatchlings</t>
  </si>
  <si>
    <t>daily precipitation (mm/day) during days 8-10 of nestling period</t>
  </si>
  <si>
    <t>Meadow Pipit</t>
  </si>
  <si>
    <t>Bluethroat</t>
  </si>
  <si>
    <t>Anthus</t>
  </si>
  <si>
    <t>pratensis</t>
  </si>
  <si>
    <t>Luscinia</t>
  </si>
  <si>
    <t>svecica</t>
  </si>
  <si>
    <t>Motacillidae</t>
  </si>
  <si>
    <t>House Sparrow</t>
  </si>
  <si>
    <t>domesticus</t>
  </si>
  <si>
    <t>August rainfall</t>
  </si>
  <si>
    <t>Pallid Swift</t>
  </si>
  <si>
    <t>1983-1992</t>
  </si>
  <si>
    <t>Apus</t>
  </si>
  <si>
    <t>Accipiter</t>
  </si>
  <si>
    <t>gentilis</t>
  </si>
  <si>
    <t>authors state positive relationship between fledging success and DROUGHT, therefore coded as a negative relationship</t>
  </si>
  <si>
    <t>breeding losses increased with may precip, therefore coded as negative relationship between nest success and precip</t>
  </si>
  <si>
    <t>1984-1993</t>
  </si>
  <si>
    <t>Callipepla</t>
  </si>
  <si>
    <t>squamata</t>
  </si>
  <si>
    <t>1999-2000</t>
  </si>
  <si>
    <t>Common Redstart</t>
  </si>
  <si>
    <t>Phoenicurus</t>
  </si>
  <si>
    <t>phoenicurus</t>
  </si>
  <si>
    <t>1983-2002</t>
  </si>
  <si>
    <t>White-crowned Sparrow</t>
  </si>
  <si>
    <t>Zonotrichia</t>
  </si>
  <si>
    <t>leucophrys</t>
  </si>
  <si>
    <t>1981-2010</t>
  </si>
  <si>
    <t>cumulative rainfall 30 days prior to nesting period</t>
  </si>
  <si>
    <t>Green Woodhoopoe</t>
  </si>
  <si>
    <t>total rainfall December 1-March 15</t>
  </si>
  <si>
    <t>December 1-March 15 covers majority of nestling period; no relationship found between rainfall and number of fledglings produced</t>
  </si>
  <si>
    <t>1982-1999</t>
  </si>
  <si>
    <t>Phoeniculidae</t>
  </si>
  <si>
    <t>Phoeniculus</t>
  </si>
  <si>
    <t>purpureus</t>
  </si>
  <si>
    <t>1995-1996</t>
  </si>
  <si>
    <t>Spheniscidae</t>
  </si>
  <si>
    <t>Eudyptula</t>
  </si>
  <si>
    <t>Lilac-crowned Parrots</t>
  </si>
  <si>
    <t>Amazona</t>
  </si>
  <si>
    <t>Athene</t>
  </si>
  <si>
    <t>finschi</t>
  </si>
  <si>
    <t>rainfall in preceding rainy season</t>
  </si>
  <si>
    <t>1996-2003</t>
  </si>
  <si>
    <t>Psittacidae</t>
  </si>
  <si>
    <t>rainfall on hatch day</t>
  </si>
  <si>
    <t>rainfall on day 5 of nestling period</t>
  </si>
  <si>
    <t>Black-billed Magpie</t>
  </si>
  <si>
    <t>Pica</t>
  </si>
  <si>
    <t>hudsonia</t>
  </si>
  <si>
    <t>1990-1993</t>
  </si>
  <si>
    <t>Carrion Crow</t>
  </si>
  <si>
    <t>Corvus</t>
  </si>
  <si>
    <t>corone</t>
  </si>
  <si>
    <t>2005-2008</t>
  </si>
  <si>
    <t>agricultural</t>
  </si>
  <si>
    <t>Burrowing Owl</t>
  </si>
  <si>
    <t>2016-2017</t>
  </si>
  <si>
    <t>cunicularia</t>
  </si>
  <si>
    <t>daily sum of precipitation (mm)</t>
  </si>
  <si>
    <t>2010-2015</t>
  </si>
  <si>
    <t>Setophaga</t>
  </si>
  <si>
    <t>ruticilla</t>
  </si>
  <si>
    <t>American Redstart</t>
  </si>
  <si>
    <t>1983-1995</t>
  </si>
  <si>
    <t>annual nest success</t>
  </si>
  <si>
    <t>Green-backed Tit</t>
  </si>
  <si>
    <t>monticolus</t>
  </si>
  <si>
    <t>2009-2019</t>
  </si>
  <si>
    <t>daily precipitation &gt;20mm during nesting period</t>
  </si>
  <si>
    <t>Rufous-faced Warbler</t>
  </si>
  <si>
    <t>Scotocercidae</t>
  </si>
  <si>
    <t>Abroscopus</t>
  </si>
  <si>
    <t>Welcome Swallow</t>
  </si>
  <si>
    <t>Hirundo</t>
  </si>
  <si>
    <t>neoxena</t>
  </si>
  <si>
    <t>1974-2000</t>
  </si>
  <si>
    <t>adherent</t>
  </si>
  <si>
    <t>1997-2003</t>
  </si>
  <si>
    <t>Lark Bunting</t>
  </si>
  <si>
    <t>Calamospiza</t>
  </si>
  <si>
    <t>melanocorys</t>
  </si>
  <si>
    <t>total rainfall September-August (cm)</t>
  </si>
  <si>
    <t>2001-2011</t>
  </si>
  <si>
    <t>2007-2011</t>
  </si>
  <si>
    <t>average precipitation May-June</t>
  </si>
  <si>
    <t>SOI</t>
  </si>
  <si>
    <t>Greater Ani</t>
  </si>
  <si>
    <t>Crotophaga</t>
  </si>
  <si>
    <t>Cuculidae</t>
  </si>
  <si>
    <t>2007-2018</t>
  </si>
  <si>
    <t>posterior distribution median</t>
  </si>
  <si>
    <t>precipitation summed over preceding 5 days</t>
  </si>
  <si>
    <t>2011-2016</t>
  </si>
  <si>
    <t>Orange-crowned Warbler</t>
  </si>
  <si>
    <t>2003-2009</t>
  </si>
  <si>
    <t>Leiothlypis</t>
  </si>
  <si>
    <t>celata</t>
  </si>
  <si>
    <t>Coracias</t>
  </si>
  <si>
    <t>garrulus</t>
  </si>
  <si>
    <t>1957-1972, 1979-1982, 1990-1993</t>
  </si>
  <si>
    <t xml:space="preserve">primarily a descriptive paper on breeding biology, but mentions neg correlation between nesting success and July rainfall. </t>
  </si>
  <si>
    <t>European Roller</t>
  </si>
  <si>
    <t>Coraciidae</t>
  </si>
  <si>
    <t>reproductive outcome/potential</t>
  </si>
  <si>
    <t>1999-2007</t>
  </si>
  <si>
    <t>Whooping Crane</t>
  </si>
  <si>
    <t>Grus</t>
  </si>
  <si>
    <t>The breeding biology, food, social organisation, demography and conservation of the major mitchell or pink cockatoo, cacatua leadbeateri, on the margin of the Western Australian Wheatbelt</t>
  </si>
  <si>
    <t>Australian Journal of Zoology</t>
  </si>
  <si>
    <t>The breeding biology of the Major Mitchell or pink cockatoo, Cacatua leadbeateri, was studied over six years at Yandegin on the margin of the Western Australian wheatbelt. Neither winter nor annual rainfall influenced the timing of egg-laying, which was spread over August and September. Most clutches (n= 63) were of three or four eggs, 84% of which hatched; 64% of nestlings fledged successfully and, on average, 1.27 independent young per pair were added to the population each autumn. Breeding pairs remained together throughout the year, spending the non-breeding season in a Local Nomadic Flock of 30-50 individuals. Pairs usually renested in the same area each season, never closer than 1 km to another pair (mean nearest neighbour 2732 m). Hollows used by C. leadbeateri were characteristically shallow (&lt;1 m) and high up, whereas other cockatoos tend to be less selective. Such specific nest hollow requirements led to regular reuse of scarce traditional sites and consequent easy ‘farming’ of nestlings for the aviary trade; specificity also rendered the species more susceptible to loss of rare nest sites by clearing than were other cockatoos. Although C. leadbeateri are long-lived (adult c. 88% survival) and productivity at Yandegin appeared adequate to maintain a stable population, the shrinking distribution in the face of expanding wheat farming is irreversible. Conservation of the species depends on the protection of large areas of the remaining suitable semiarid woodland and the continuing strict enforcement of the complete ban on harvesting wild birds for the aviary trade. © 1991, CSIRO. All rights reserved.</t>
  </si>
  <si>
    <t>May precipitation</t>
  </si>
  <si>
    <t>1989-1994</t>
  </si>
  <si>
    <t>Bull-headed Shrike</t>
  </si>
  <si>
    <t>bucephalus</t>
  </si>
  <si>
    <t>Log odds ratio</t>
  </si>
  <si>
    <t>Red-throated Loon</t>
  </si>
  <si>
    <t>Gaviidae</t>
  </si>
  <si>
    <t>Gavia</t>
  </si>
  <si>
    <t>stellata</t>
  </si>
  <si>
    <t>1992-2009</t>
  </si>
  <si>
    <t>Lesser Spotted Eagle</t>
  </si>
  <si>
    <t>breeding territories</t>
  </si>
  <si>
    <t>Clanga</t>
  </si>
  <si>
    <t>pomarina</t>
  </si>
  <si>
    <t>breeding season rainfall</t>
  </si>
  <si>
    <t>there is a "typical" breeding season (December-June) and an "atypical" breeding season (July-November); rainfall summed according to which breeding season the nest occurred during</t>
  </si>
  <si>
    <t>1997-2019</t>
  </si>
  <si>
    <t>Monarchidae</t>
  </si>
  <si>
    <t>Oahu Elepaio</t>
  </si>
  <si>
    <t>Chasiempis</t>
  </si>
  <si>
    <t>ibidis</t>
  </si>
  <si>
    <t>1982-1994</t>
  </si>
  <si>
    <t>presence of rainfall in previous day</t>
  </si>
  <si>
    <t>Puerto Rican Bullfinch</t>
  </si>
  <si>
    <t>Thraupidae</t>
  </si>
  <si>
    <t>Melopyrrha</t>
  </si>
  <si>
    <t>portoricensis</t>
  </si>
  <si>
    <t>nests vary; some are partially enclosed and some are domed</t>
  </si>
  <si>
    <t>rainfall throughout breeding season (October-March)</t>
  </si>
  <si>
    <t>2001-2008</t>
  </si>
  <si>
    <t>Lullula</t>
  </si>
  <si>
    <t>arborea</t>
  </si>
  <si>
    <t>Wood Lark</t>
  </si>
  <si>
    <t>1971-2004</t>
  </si>
  <si>
    <t>no</t>
  </si>
  <si>
    <t>periods of prolonged rainfall</t>
  </si>
  <si>
    <t>rainfall led to  lower hatch success and more nestling mortalities via starvation</t>
  </si>
  <si>
    <t>heavy rain</t>
  </si>
  <si>
    <t>rainfall positively correlated with nest initiation, but heavy rainfall led to nest failure</t>
  </si>
  <si>
    <t>Short-tailed Shearwater</t>
  </si>
  <si>
    <t>periods of prolonged rainfall then drought</t>
  </si>
  <si>
    <t>egg survival</t>
  </si>
  <si>
    <t>mean daily precipitation over 7-day periods</t>
  </si>
  <si>
    <t>Pink Cockatoo</t>
  </si>
  <si>
    <t>1998-2013</t>
  </si>
  <si>
    <t>cold season precipitation (November-March)</t>
  </si>
  <si>
    <t>Winter and breeding season precipitation (November-June)</t>
  </si>
  <si>
    <t>breeding season precipitation (March-June)</t>
  </si>
  <si>
    <t>successful pairs</t>
  </si>
  <si>
    <t>atrocaerulea</t>
  </si>
  <si>
    <t>Montane Blue Swallow</t>
  </si>
  <si>
    <t>Berthelot's Pipit</t>
  </si>
  <si>
    <t>berthelotii</t>
  </si>
  <si>
    <t>2010-2011</t>
  </si>
  <si>
    <t>Sprague's Pipit</t>
  </si>
  <si>
    <t>Chestnut-collared Longspur</t>
  </si>
  <si>
    <t>Vesper Sparrow</t>
  </si>
  <si>
    <t>Baird's Sparrow</t>
  </si>
  <si>
    <t>Western Meadowlark</t>
  </si>
  <si>
    <t>spragueii</t>
  </si>
  <si>
    <t>Calcariidae</t>
  </si>
  <si>
    <t>Calcarius</t>
  </si>
  <si>
    <t>ornatus</t>
  </si>
  <si>
    <t>Pooecetes</t>
  </si>
  <si>
    <t>gramineus</t>
  </si>
  <si>
    <t>Centronyx</t>
  </si>
  <si>
    <t>bairdii</t>
  </si>
  <si>
    <t>Sturnella</t>
  </si>
  <si>
    <t>neglecta</t>
  </si>
  <si>
    <t>Procellariidae</t>
  </si>
  <si>
    <t>Ardenna</t>
  </si>
  <si>
    <t>tenuirostris</t>
  </si>
  <si>
    <t>nest failures (burrow collapse) occurred following periods of heavy rainfall then drought; also did a lit review for "wreck" events, these results unrelated to nest success</t>
  </si>
  <si>
    <t>fewer young fledged per pair with more September rainfall; also includes estimates for average fledging success per territorial pair per year</t>
  </si>
  <si>
    <t>1989-1997</t>
  </si>
  <si>
    <t>Factors affecting breeding success of Peregrine and Lanner Falcons in South Africa</t>
  </si>
  <si>
    <t>territorial pairs</t>
  </si>
  <si>
    <t>1977-1982</t>
  </si>
  <si>
    <t>Cacatuidae</t>
  </si>
  <si>
    <t>Lophochroa</t>
  </si>
  <si>
    <t>precipitation during nestling period</t>
  </si>
  <si>
    <t>AddedFromCitations?</t>
  </si>
  <si>
    <t>rainfall 3 weeks prior to egg laying</t>
  </si>
  <si>
    <t>Purple-crowned Fairy-wren</t>
  </si>
  <si>
    <t>Malurus</t>
  </si>
  <si>
    <t>coronatus</t>
  </si>
  <si>
    <t>2005-2010</t>
  </si>
  <si>
    <t>Maluridae</t>
  </si>
  <si>
    <t>total rainfall in early summer</t>
  </si>
  <si>
    <t>also correlated with Atlantic Oscillation</t>
  </si>
  <si>
    <t>Nest survival of the threatened Campo Miner Geositta poeciloptera: a tropical cavity-nesting grasslands bird</t>
  </si>
  <si>
    <t>Nest survival is a key step in the reproductive biology of birds and is essential for understanding the strategies used to improve the chances of nest success. Here we studied the main factors driving nesting success of the Campo Miner Geositta poeciloptera (Scleruridae), a threatened Neotropical grasslands bird that nests in cavities, usually along steep soil banks. We calculated the apparent success and modelled daily nest survival rates (DSR) based on 86 nests monitored to investigate the effects of nest-related covariates on the nest survival. In the DSR modelling, we looked at the effects of reproductive phase (incubation and nestling periods), breeding seasons (years), temporal-trends (linear and quadratic) rainfall and nest’s individual covariates (height, distance from the top of the cavity to the top of the bank, cavity depth and cavity entrance area). The overall apparent nest success was 58% and estimates based on DSRs were ˜45%. Nest phase, cavity entrance area, nest height and a linear time trend were the main factors influencing DSRs. The survival during incubation was lower (˜54%) than during the nestling period (˜83%), and both phases showed higher values in the beginning of the breeding season. Predation was the main driver of nest failure (23.3%, N = 20), followed by nest abandonment (10.5%, N = 9) and nest usurpation (7%, N = 6). Our results allow us to better understand and conserve this threatened species and also shed light in the reproductive ecology of a whole family endemic to the Neotropics. © 2021 Ecological Society of Australia</t>
  </si>
  <si>
    <t>We describe the density, breeding and foraging ecology of the Berthelot's Pipit (Anthus berthelotii), an endemic passerine to the Atlantic islands, in the semi-arid coastal scrub of Tenerife. Furthermore, we analyse the effects of temperature and rainfall in the onset of reproduction and the behaviour (nest site and foraging site selection). The average density of the Pipit (using DISTANCE methodology) in the semi-arid coastal scrub was 7.1 birds 10ha -1, and the overall density estimate in grasslands was 3.3 birds 10ha-1. The Pipit bred early (mean average first-egg laying date 12 February) and in response to rainfall (but not temperature). By the Mayfield method, the probability of the nests surviving the egg stage was 0.77 and of and the nests surviving the chick stage 0.67 - assuming an incubation period of 13 days and a chick stage of 12.5 days - based on the European average for the similar-sized Meadow Pipit Anthus pratensis. Overall nest survival pooling stages were 0.51. The Pipits had a low clutch size (3.3 eggs, range of 2-4). Nest damage by heavy rainstorms was the major cause of nest failures (three out of five failures). The Pipits nested preferentially in grass with relatively low densities of Euphorbia balsamifera bushes. Birds selected grassy areas as their main foraging site but also preferred to forage on large rocks during nesting: caterpillars were the main food items (14 out of 17 prey captures). Copyright © NISC Pty Ltd.</t>
  </si>
  <si>
    <t>The influence of weather on wildlife populations has been documented for many species; however, much of the current literature has focused on the effects of weather within a season and consists of short-term studies. The use of long-term datasets that cover a variety of environmental conditions will be essential for assessing possible carry-over effects of weather experienced in one season on behavior and fitness in subsequent seasons. In this study, we evaluated the effects of weather variables measured over multiple temporal scales on the reproductive performance and behavior of greater prairie-chickens (Tympanuchus cupido) in Osage County, Oklahoma, USA, from 2011-2019. Considering weather over a range of temporal extents allowed us to determine the relative importance of short-term weather events, such as daily temperature and precipitation, versus more chronic shifts in weather such as persistent drought on the reproductive performance of greater prairie-chickens. We used an information-theoretic model building approach to develop models describing the effects of daily weather variables and drought conditions on daily nest survival, nest incubation start dates, and clutch size. Daily nest survival was primarily influenced by conditions experienced during incubation with daily nest success declining in years with wetter than average springs and during extreme precipitation events. Daily nest survival also declined under higher maximum daily temperatures, especially in years with below-average rainfall. Greater prairie-chickens began nesting earlier and had smaller clutch sizes for initial nests and renests in years with warmer temperatures prior to the nesting season. Additionally, incubation of nests started later in drought years, indicating carry-over effects in greater prairie-chicken reproductive behaviors. Our work shows that if the weather in the Great Plains becomes more variable, with increasing frequency of drought and extreme precipitation events, wildlife species that inhabit these grasslands landscapes will likely experience changes in reproduction, potentially influencing future populations. (c) 2020 The Wildlife Society.</t>
  </si>
  <si>
    <t>Agriculture is adapting to phenological shifts caused by climate change, but grasslands songbirds are not</t>
  </si>
  <si>
    <t>Migratory birds time their migration based on cues that signal resource availability for reproduction. However, with climate change, the timing of seasonal events may shift, potentially inhibiting the ability of some species to use them as accurate cues for migration. We studied the relationship between phenological shifts and reproduction by long- and short-distance migratory songbirds—Bobolinks (Dolichonyx oryzivorus) and Savannah Sparrows (Passerculus sandwichensis). Our study population breeds in hayfields and pastures in Vermont, USA, where farmers are also changing management activities in response to climate change. From 2002 to 2019, we monitored nest initiation dates to quantify correlations with environmental factors and the timing of nest initiation. We collected historical and projected precipitation and temperature data for the breeding grounds, and their respective wintering and stopover sites, the North Atlantic Oscillation (NAO) and the El Niño Southern Oscillation (ENSO). We predicted that winter conditions experienced by the short-distance migrant, the Savannah Sparrow, but not the long-distance migrant, the Bobolink, would explain the timing and success of nesting, however that this timing would be misaligned with changes in agricultural practices by hay farmers. Nest initiation dates did not show significant directional change for either species, but did vary among years. Interannual variation in Savannah Sparrow nest initiation dates was best explained by the interaction between precipitation on the breeding grounds and average wintering site (Wilmington, North Carolina). For Bobolinks, interannual variation in nest initiation dates was best explained by the interaction between breeding ground precipitation and average temperature in their fall stopover site (Barquisimieto, Venezuela). However, first haying dates in Vermont advanced by ~10 days over 18 years. These results suggest that the conflict between the timing of hay harvests and grasslands songbird reproduction will increase, further threatening population processes for these species, as early harvests notably decrease annual productivity. © 2021 The Authors. Ecology and Evolution published by John Wiley &amp; Sons Ltd.</t>
  </si>
  <si>
    <t>Nest survival is a key vital rate of game birds and frequently studied to guide population management. Common scientific protocols are invasive and often involve flushing females from their nests to assess nest contents and status. Biased inference of population dynamics, and thus improper management recommendations, may result if nest survival estimates are affected by researcher activities. We evaluated whether standard nest monitoring protocols for game birds biased estimates of nest survival for sharp-tailed grouse Tympanuchus phasianellus, a common ground-nesting bird in northern grasslands ecosystems in the US. We hypothesized that flushing females from nests would negatively affect estimates of daily nest survival and result in biased inferences about population growth regardless of potentially mediating environmental conditions. Our results indicated that cumulative precipitation received during the nesting period had the largest effect on nest survival. Flushing sharp-tailed grouse from nests resulted in reduced nest survival during dry periods, although differences over the entire nesting period were not statistically significant. Downward-biased estimates of nest survival for females that were flushed did not significantly bias estimates of population growth rates. With minimal data loss, we successfully monitored nests of radio-marked females without flushing and recommend that researchers carefully consider potential biases related to research techniques when determining nest monitoring protocols. © 2021 Nordic Council for Wildlife Research. All rights reserved.</t>
  </si>
  <si>
    <t>The influence of recent climate change on the world's biota has manifested broadly, resulting in latitudinal range shifts, advancing dates of arrival of migrants and onset of breeding, and altered community relationships. Climate change elevates conservation concerns worldwide because it will likely exacerbate a broad range of identified threats to animal populations. In the past few decades, grasslands birds have declined faster than other North American avifauna, largely due to habitat threats such as the intensification of agriculture. We examine the effects of local climatic variations on the breeding performance of a bird endemic to the shortgrass prairie, the Lark Bunting (Calamospiza melanocorys) and discuss the implications of our findings relative to future climate predictions. Clutch size, nest survival, and productivity all positively covaried with seasonal precipitation, yet relatively intense daily precipitation events temporarily depressed daily survival of nests. Nest survival was positively related to average temperatures during the breeding season. Declining summer precipitation may reduce the likelihood that Lark Buntings can maintain stable breeding populations in eastern Colorado although average temperature increases of up to 38C (within the range of this study) may ameliorate declines in survival expected with drier conditions. Historic climate variability in the Great Plains selects for a degree of vagility and opportunism rather than strong site fidelity and specific adaptation to local environments. These traits may lead to northerly shifts in distribution if climatic and habitat conditions become less favorable in the drying southern regions of the Great Plains. Distributional shifts in Lark Buntings could be constrained by future changes in land use, agricultural practices, or vegetative communities that result in further loss of shortgrass prairie habitats. © 2012 by the Ecological Society of America.</t>
  </si>
  <si>
    <t>Nest success of grasslands sparrows on reclaimed surface mines</t>
  </si>
  <si>
    <t>ABSTRACT Greater sage-grouse ( Centrocercus urophasianus; hereafter, sage-grouse) populations have declined across North America because of degradation of shrublandss ( Artemisia spp.) ecosystems; thus, management for sage-grouse habitat is a high priority. Expansion of some energy development has put additional pressures on sage-grouse populations and their habitats. However, little is known about the effects wind energy development may have on sage-grouse populations. Population dynamics of sage-grouse are partially related to nest success, which may be influenced by the quality of nesting habitat. Consequently, knowledge of vegetation and structural characteristics associated with selection and survival of sage-grouse nests would help inform management decisions to improve nest success. As part of a study quantifying greater sage-grouse demographics prior to construction of a wind energy facility, we monitored female sage-grouse equipped with 30-g solar Argos global positioning system platform transmitter terminals during the breeding season in Carbon County, Wyoming to assess selection and survival of nests at nest area (30-m radius), nest patch (5-m radius), and nest bowl scales. Sage-grouse selected nest sites with increased visual obstruction from 22.9-45.7 cm in height at all scales, less forb cover at the nest area, and more shrublandss cover at the nest patch. Survival of nests to 27 days (i.e., incubation period) was 43.3% (95% CI: 31.8-59.1%) in 2011 ( n = 49), 33.2% (95% CI: 21.5-51.3%) in 2012 ( n = 40), and 25.1% (95% CI: 15.0-42.0%) in 2013 ( n = 39). Grass height had a positive association with survival of nests at the nest area and nest patch, canopy cover of bunchgrasses and shrublandss had an interactive effect on survival of nests at the nest patch, and visual obstruction from 0-22.9 cm in height had a positive relationship with survival of nests at the nest bowl. The standardized precipitation-evapotranspiration index (SPEI), an index of drought, from the previous growing season was also negatively correlated with survival of nests. Our results suggest management for nesting sage-grouse should focus on a heterogeneous compilation of tall bunchgrasses &gt;15 cm and patches of shrublandss cover &gt;30%. Management for grasses &gt;15 cm tall should be especially diligent during drought years, given SPEI was associated with nest survival the following year. Although there could be other factors important to selection or survival of nests that we did not evaluate, our results suggest scale-dependent management strategies at the microsite level may not be necessary. We encourage researchers and managers to use our baseline results in a before-after control-impact design with future, post-construction data to determine the potential effects of wind energy development on selection and survival of sage-grouse nests. © 2016 The Wildlife Society. [ABSTRACT FROM AUTHOR] Copyright of Journal of Wildlife Management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</si>
  <si>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Nesting habitat degradation and its negative effect on nesting success might contribute to the recent population and distributional declines of greater sage-grouse (Centrocercus urophasianus) throughout North America. We used radiotelemetry to locate greater sage-grouse nests in 7 different areas of central and southwestern Wyoming between 1994 and 2002; we studied each area for 2 to 4 years. Using binary logistic regression, we compared microsite vegetal data collected at nests (n = 457) and random (n = 563) sites and successful (n = 211) and unsuccessful (n = 238) nests to test hypotheses concerning greater sage-grouse nesting habitat selection and vegetal conditions associated with nesting success. We used Akaike's Information Criterion (AIC(c)) and model averaging to make inference about the weighted support for the importance of individual habitat variables through the comparison of sets of competing models. Selected nest sites were located in areas with increased total shrub canopy cover (relative importance [RI] = 1.00), residual grass cover (RI = 0.47), and residual grass height (RI = 0.77) compared to random sites. Successful nests had increased residual grass cover (RI = 0.43) and height (RI = 0.48) relative to unsuccessful nests. Additionally, annual nest success rates (i.e., above vs. below our study's average) were related to the preceding year's spring (Apr-May; RI = 0.44) and winter-early spring (Jan-Jun) precipitation (RI = 0.32). Correct classification rates for weighted average models that we derived through the 3 comparisons were between 60 and 70%, suggesting the variables adequately differentiated between plot types. However, high model selection uncertainty (i.e., the total number of models included in the sets of AIC(c)-selected models) suggested that nest site selection and nesting success may be influenced by factors not considered in the modeling process. Management strategies that protect dense shrublandss stands and enhance residual grass cover and height within those stands should be used to maintain nesting habitat and increase nesting success of greater sage-grouse (Copyright applies to all Abstracts.)</t>
  </si>
  <si>
    <t>Weather explains differences in shrublandss-obligate songbird nest success under various grazing regimes</t>
  </si>
  <si>
    <t>Livestock grazing occurs worldwide, spanning over 25% of land globally, and effective conservation of biodiversity relies upon understanding the interactions of agricultural management practices and increasingly variable weather associated with climate change. We evaluated precipitation and temperature and the daily nest survival rates of two species of shrublandss-obligate songbirds, Brewer's sparrow (Spizella breweri) and shrublandss sparrow (Artemisiospiza nevadensis) under dormant season grazing, rotational grazing and a non-grazed control. Precipitation and temperature were quantified as daily time-varying and averages across the breeding season. Both sparrow species in our study were influenced by within-year weather variation, and experienced declines in daily nest survival beyond precipitation thresholds. For shrublandss sparrows, an interaction of precipitation and temperature indicated nest survival was lowest during 5-day time frames with minimal precipitation and high temperatures. While we found moderate grazing lowered perennial grass cover, there was no support for vegetation differences associated with moderate grazing explaining daily nest survival. Our results indicate that variable weather presented a much greater threat to these birds than reductions in herbaceous cover caused by moderate grazing under the studied conditions. Management should focus on conserving extensive tracts of suitable habitat to increase songbird populations and resiliency to increasingly variable and extreme weather conditions. © 2022</t>
  </si>
  <si>
    <t>ABSTRACT: Grazing by domestic livestock is ubiquitous in the shrublandss (Artemisia spp.) biome of western North America. Widespread, long‐term population declines in greater sage‐grouse (Centrocercus urophasianus) have elicited concern about negative effects of livestock grazing on sage‐grouse populations. Hypothesized relationships, mostly untested, between livestock and sage‐grouse nesting ecology have played a prominent role in shaping public land livestock grazing policy and broader discussions about management of grazing in shrublandss ecosystems. We tested predictions arising from several commonly hypothesized mechanisms by which livestock may affect nesting habitat quality for sage‐grouse in a grazed landscape in central Montana, USA. We employed Bayesian variable selection methods to identify factors related to both nest site selection and nest success, focusing on indices of livestock use at local and pasture scales and including other factors known to influence nesting ecology such as anthropogenic features and weather. In spite of some evidence nest survival was positively associated with senesced vegetation height, evidence for effects of livestock presence and indices of local livestock use on nest site selection and survival was equivocal at best. In contrast, we found strong evidence that females selected nest sites based on relatively static features such as shrublandss cover and distance from gravel and paved roads, whereas nest failure was driven primarily by extended periods of heavy precipitation. Management of sage‐grouse nesting habitat in this region should focus on conserving areas of adequate shrub cover and preventing further fragmentation by roads. © 2018 The Wildlife Society. [ABSTRACT FROM AUTHOR] Copyright of Journal of Wildlife Management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</si>
  <si>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yes</t>
  </si>
  <si>
    <t>Late-season snowfall is associated with decreased offspring survival in two migratory artctic-breeding songbird species</t>
  </si>
  <si>
    <t>While the effect of weather on reproduction has been studied for many years in avian taxa, the rapid pace of climate change in arctic regions has added urgency to this question by changing the weather conditions species experience during breeding. Given this, it is important to understand how factors such as temperature, rain, snowfall, and wind affect reproduction both directly and indirectly (e.g. through their effects on food availability). In this study, we ask how weather factors and food availability influence daily survival rates of clutches in two arctic-breeding migratory songbirds: the Lapland longspur Calcarius lapponicus, a circumpolar breeder, and Gambel’s white-crowned sparrow Zonotrichia leucophrys gambelii, which breeds in shrubby habitats across tundra, boreal and continental climates. To do this, we monitored clutch survival in these two species from egg-lay through fledge at field sites located near Toolik Field Station (North Slope, Alaska) across 5 yr (2012–2016). Our results indicate that snowfall and cold temperatures decreased offspring survival rates in both species; although Lapland longspurs were more susceptible to snowfall. Food availability, quantified by pitfall sampling and sweep-net sampling methods, had minimal effects on offspring survival. Some climate models predict increased precipitation for the Arctic with global warming, and in the Toolik region, total snow accumulation may be increasing. Placed in this context, our results suggest that changes in snow storms with climate change could have substantial consequences for reproduction in migratory songbirds breeding in the North American Arctic</t>
  </si>
  <si>
    <t>proportion of days with snow</t>
  </si>
  <si>
    <t>2012-2016</t>
  </si>
  <si>
    <t>Lapland Longspur</t>
  </si>
  <si>
    <t>parameter estimates for two species</t>
  </si>
  <si>
    <t>lapponicus</t>
  </si>
  <si>
    <t>Weather Effects on Nestling Survival of Great Tits Vary According to the Develeiomental Stage</t>
  </si>
  <si>
    <t>Organisms change breeding investments as a function of the environment, thereby maximizing reproductive success. Climate change studies of avian life-history have long focused on plasticity of laying dates and clutch sizes in response to weather conditions prior to clutch initiation. By contrast, effects of unpredictable weather events occur- ring after initial reproductive decisions are made have largely been ignored, despite becoming increasingly important with ongoing climate change. We studied the detri- mental effects of fluctuations in temperature and precipitation during various nesting phases of great tits Parus major, identifying the developmental age windows where weather fluctuations affected hatching, nestling mass and fledging success. We used a longitudinal (8-year) dataset of great tits breeding in nest boxes in southern Germany and applied a recently introduced explorative approach that does not require a priori assumptions on the time windows (range of ages) over which weather may affect repro- ductive parameters. Lower temperatures and higher precipitation during the nestling phase negatively affected nestling mass and survival: nestlings between the ages 6 and 9 days were most susceptible to this form of variation in weather. Effects of weather did not differ between years, i.e. there was no evidence for ‘good’ versus ‘bad’ years. Future research should focus on the mechanisms underpinning effects of weather on nestling growth and survival in other populations and consider if age-dependent weather con- sequences occur in a wide variety of taxa, as specific developmental stages may serve as weak spots in a scenario of increasing recurrence of weather extremes.</t>
  </si>
  <si>
    <t>mean precipitation during nestling ages 7-8</t>
  </si>
  <si>
    <t>2009-2017</t>
  </si>
  <si>
    <t>Modelling the effect of environmental variables on the reproductive success of Griffon Vulture (Gyps fulvus) in Sardinia, Italy</t>
  </si>
  <si>
    <t>Old World vultures are experiencing dramatic population declines and now are among the species most threatened with extinction. Understanding the environmental variables that can influence the reproductive indexes of vulture populations can facilitate both habitat and species management. The aim of this study was to identify which environmental variables primarily affect the breeding successes of the Griffon Vulture Gyps fulvus in northern Sardinia by applying a Bayesian hierarchical model. A unique dataset of reproductive records (197 nests monitored over 39 years for a total of 992 breeding records) was used. Eight environmental and topographical variables describing the habitat at the nesting sites were considered as potential predictors of breeding success. These included mean annual temperature, mean annual precipitation, isothermality, elevation, the normalized difference vegetation index, wind speed, and the aspect and slope of the land surface. In addition, we also considered the effect of human disturbance and the type of nest. According to our best model, the probability of successfully raising a chick in Griffon Vultures was higher in nests exposed to a high wind speed, not covered by natural shelters, where the vegetation was mostly represented by shrub and pastures, with low human disturbance and in years with low rainfall. This model will be useful for management of the breeding habitat and to identify the area most suitable for Griffon Vulture reproduction. This information is crucial for programming conservation measures aimed at enlarging the area of occupancy of the species.</t>
  </si>
  <si>
    <t>Impact of weather and climate variation on Hoopoe reproductive ecology and population growth</t>
  </si>
  <si>
    <t>Local Weather Explains Annual Variation in Northern Goshawk Reproduction in the Northern Great Basin, USA</t>
  </si>
  <si>
    <t>Weather is thought to influence raptor reproduction through effects on prey availability, condition of adults, and survival of nests and young; however, there are few long-term studies of the effects of weather on raptor reproduction. We investigated the effects of weather on Northern Goshawk (Accipiter gentilis; henceforth goshawk) breeding rate, productivity, and fledging date in south-central Idaho and northern Utah, USA. Using data from 42 territories where we found evidence of breeding attempts in ≥1 yr from 2011-2019, we analyzed breeding rates using 315 territory-season combinations, analyzed productivity for 134 breeding attempts, and analyzed fledging date for 118 breeding attempts. We examined 35 predictor variables from four categories: precipitation, temperature, wind, and snowpack. Of the variables we evaluated, April precipitation, previous year's April-July precipitation, April-May mean temperature, and March-May mean temperature were related to measures of goshawk reproduction. Greater April-July precipitation in the previous year and lower April precipitation in the current year were associated with higher breeding rates. Years with warmer average April-May temperatures were associated with increased goshawk productivity. Years with greater April-July precipitation during the previous year and lower mean March-May temperatures were associated with later fledging dates. Based on these relationships, we considered projected changes in weather in the northern Great Basin over the next 50 yr as a result of climate change (without directly accounting for habitat changes caused by climate change), and predicted that climate change will: (a) have no significant effect on goshawk breeding rate, (b) have a positive effect on goshawk productivity, and (c) cause a shift toward earlier goshawk breeding. Our results indicate that weather is significantly related to goshawk reproduction in the northern Great Basin, and we suggest that the relationship between raptor breeding and weather be further investigated to enable higher resolution predictions of how changes in the climate may influence their populations, particularly changes that may not have been captured by our study.</t>
  </si>
  <si>
    <t>Natal experience and pre‐breeding environmental conditions affect lay date plasticity in Savannah</t>
  </si>
  <si>
    <t>Phenotypic plasticity allows organisms to adjust the timing of life-history events in response to environmental and demographic conditions. Shifts by individuals in the timing of breeding with respect to variation in age and temperature are well documented in nature, and these changes are known to scale to affect population dynamics. However, rela- tively little is known about how organisms alter phenology in response to other demographic and environmental factors. We investigated how pre-breeding temperature, breeding popula- tion density, age, and rainfall in the first month of life influenced the timing and plasticity of lay date in a population of Savannah Sparrows (Passerculus sandwichensis) monitored over 33 yr (1987–2019). Females that experienced warmer pre-breeding temperatures tended to lay eggs earlier, as did older females, but breeding population density had no effect on lay date. Natal precipitation interacted with age to influence lay date plasticity, with females that expe- rienced high precipitation levels as nestlings advancing lay dates more strongly over the course of their lives. We also found evidence for varied pace of life; females that experienced high natal precipitation had shorter lifespans and reduced fecundity, but more nesting attempts over their lifetimes. Rainfall during the nestling period increased through time, while population density and fecundity declined, suggesting that increased precipitation on the breeding grounds may be detrimental to breeding females and ultimately the viability of the population as a whole. Our results suggest that females adjust their laying date in response to pre-breeding temperature, and as they age, while presenting new evidence that environmental conditions during the natal period can affect phenological plasticity and generate down- stream, population-level effects.</t>
  </si>
  <si>
    <t>Nestling Savannah Sparrows and Tree Swallows differ in their sensitivity to weather</t>
  </si>
  <si>
    <t>Ornithology</t>
  </si>
  <si>
    <t>Savannah Sparrows (Passerculus sandwichensis) and Tree Swallows (Tachycineta bicolor) breed and forage in the same habitat on Kent Island, a boreal island in the Bay of Fundy, New Brunswick, but respond differently to the same weather conditions. The 2 passerines are similar in body size but because Tree Swallows depend upon small flying insects captured on the wing, they may be more sensitive to weather than Savannah Sparrows, which forage on insects and seeds on the ground and in shrubs and trees. To compare how reproductive success in the 2 species was affected by weather conditions, we took advantage of an 18-year dataset and used a model-building approach that controlled for year, adult sex and age, and field where they nested. We focused on 3 measures of reproductive success (hatching success, fledging success, and nestling condition) and different time periods (3- to 18-day time windows) before hatching or fledging. The responses of the 2 species differed in magnitude and direction. In Tree Swallows, adding weather variables to the basic model increased the explanatory power of fixed effects by 19.1%, illustrating the swallows’ sensitivity to weather. In contrast, in Savannah Sparrows, the addition of weather variables only increased the model’s explanatory power by 0.4% and the proportion of variation attributed to fixed factors by only 1.5%, which reflected the species’ hardiness in the face of inclement weather. Our results suggest that how a bird species forages and the nature of its prey may influence its sensitivity to weather and indicate that increased rainfall, strong winds and other events associated with climate change may affect Tree Swallows and other aerial insectivores more than ground-foraging birds such as Savannah Sparrows.</t>
  </si>
  <si>
    <t>Factors influencing nest survival in resident Canada geese</t>
  </si>
  <si>
    <t>The Journal of Wildlife Management</t>
  </si>
  <si>
    <t>Overpopulation of Canada goose (Branta canadensis) that make up the Atlantic Flyway Resident Population (AFRP) in New Jersey led to the implementation of a management program that includes hunter harvest, culling programs, and efforts to reduce recruitment through nest destruction. We investigated clutch size, hatchability, and nest survival of Canada goose nests in the AFRP in New Jersey during and identified ecological, temporal, and spatial variables associated with nest survival to better understand the factors influencing population growth. Mean (AESE) clutch size was 4.86 eggs (AE0.04), and mean hatchability of all eggs was 0.61 AE 0.04 across the study. Mean hatchability in 2009-2010 was significantly lower than in the 1980s and 1990s, whereas we did not detect any significant differences in mean clutch size across the decades. Nest survival decreased across the decades, with survival probabilities ranging from 0.68 AE 0.03 in 1988 to 0.45 AE 0.02 in 2010, likely related to reproductive control programs. Nest survival was influenced by date within the nesting season, decade, precipitation, and extreme high temperature. Further, nest survival was associated with commercial-industrial, agricultural, and urban residential land use at a site level (0.25 km), and natural and urban residential land use at a landscape level (2.25 km and 0.75 km, respectively). Commercial land use (e.g., corporate parks and golf courses) offers favorable Canada goose nesting habitat at the site level, with manicured lawns, man-made ponds, and decreased predator habitat (e.g., dense tree, shrub cover). We recommend targeting population management efforts in commercial, industrial, and urban residential areas these land uses were associated with increased nest survival. Ó</t>
  </si>
  <si>
    <t>Extreme precipitation reduces reproductive output of an endangered raptor</t>
  </si>
  <si>
    <t>Nest Success of Gunnison Sage-Grouse in Colorado, USA</t>
  </si>
  <si>
    <t>PLoS One</t>
  </si>
  <si>
    <t>Phaisanidae</t>
  </si>
  <si>
    <t>minimus</t>
  </si>
  <si>
    <t>Gunnison Sage-grouse</t>
  </si>
  <si>
    <t>2007-2010</t>
  </si>
  <si>
    <t>AICc cumulative variable weight</t>
  </si>
  <si>
    <t>Snowy plover nest survival in Kansas and effective management to counter negative effects of precipitation</t>
  </si>
  <si>
    <t>Nest and Chick Survival and Colony-Site Dynamics of Least Terns in the U.S. Virgin Islands</t>
  </si>
  <si>
    <t>Short-term effects of timber harvest and weather on Northern Goshawk reproduction in northern Idaho</t>
  </si>
  <si>
    <t>Nesting habitat of the Northern Goshawk (Accipiter gentilis) in North America has been associated with the amount of mature, closed-canopy forest in the nesting area; however, few studies have experimentally tested the effects of timber harvest on goshawk reproduction. We tested the effects of clear-cutting within goshawk nesting areas on reoccupancy and nesting success for two years following treatments. We also included habitat and weather variables as potential covariates in our models. We found no treatment effects on goshawk reoccupancy, nesting success, or number of fledglings between harvested and unharvested nesting areas. Our models suggested goshawk breeding area reoccupancy was a function of the amount of potential nesting habitat available in the 170-ha area surrounding the nest; goshawks reoccupied breeding areas if they contained &gt;39% potential nesting habitat following harvest. Nesting success was correlated with mean April precipitation and January daily temperatures. Our results suggested that, in the short term, goshawks were more likely to attempt nesting after disturbance if &gt;39% of the 170-ha area around their nest was left in potential nesting habitat; however, our models suggested that once goshawks attempt nesting, nesting success was more likely to be a function of winter and spring weather. © 2009 The Raptor Research Foundation, Inc.</t>
  </si>
  <si>
    <t>Contributions of Weather and Predation to Reduced Breeding Success in a Threatened Northern Loggerhead Shrike Population</t>
  </si>
  <si>
    <t>Chick mortality in European Shag Stictocarbo aristotelis related to food-limitations during adverse weather events</t>
  </si>
  <si>
    <t>This study analyses the mortality of chicks of the European Shag Stictocarbo aristotelis in the Cies Islands (NW Spain). Chick mortality on this island is the main cause of the yearly variation in chick production. By visiting the nests after hatching occurred we determined the periods of high mortality in four years of study. The weather conditions, especially rain and wind, during these periods were significantly more adverse than in the periods showing no mortality. There was a significant relationship between the yearly mortality rate in chicks and the number of windy and rainy days during the growth period of the chicks (May) during four years of study. The physical quality of the nest site during the four seasons of study was similar between nests affected by mortality and those that were not. In the colony we studied, feeding is almost exclusively by co-operative groups capturing sandeels, with this prey accounting for over 70% during the breeding season. During a period of heavy rains in 1997, the sandeels were found to be present in only 22% of the pellets and during this time co-operative fishing groups were not recorded. The most important factor involved in the mortality would appear to be food limitation.</t>
  </si>
  <si>
    <t>Weather and Reproductive Variation in Shrubsteppe Sparrows : A Hierarchical Analysis</t>
  </si>
  <si>
    <t>Effects of a Severe Snowstorm on Subalpine and Alpine Populations of Nesting American Pipits</t>
  </si>
  <si>
    <t>The effect of a midsummer snowstorm on nesting success of two populations of American Pipits (Anthus rubescens) in the Beartooth Mountains, Wyoming is described. An alpine population (3200 m) suffered 79% nestling mortality during the storm, whereas a subalpine population (2900 m) experienced 7% nestling mortality. All nestlings of the alpine population at least 11 d old (n = 44) survived burial by snow for 24 h, whereas younger nestlings (n = 36) had only 11% survivorship. This age effect corresponds to the age of endothermy; younger nestlings apparently died of exposure. Snow covered the ground for an additional 36 h after nests were excavated; older nestlings experienced high (73%) mortality, probably from starvation, during this period. The observed survivorship pattern was apparently unrelated to brood size. Implications of severe storms for alpine populations of breeding birds are discussed</t>
  </si>
  <si>
    <t>Effects of an unseasonable snowstorm on red-faced Warbler nesting success</t>
  </si>
  <si>
    <t>Earlier initiation of nests by breeding birds may reflect an adaptive response to changes in food availability or warming of spring temperatures, but the consequences of initiating nests too early may be severe, particularly at high elevations. A rare snowstorm in late May 2008 resulted in nest abandonment by 68% of Red-faced Warblers (Cardellina rubrifrons) breeding in a high-elevation riparian ecosystem of southeastern Arizona. In addition, climate data from our study site from 1950 to 2008 revealed higher-than-average springtime temperatures during the past 10 years. If birds respond to this increase in springtime temperatures by nesting earlier their vulnerability to spring snowstorms may increase. © 2009 by The Cooper Ornithological Society. All rights reserved.</t>
  </si>
  <si>
    <t>Demographic effects of extreme weather events: Snow storms, breeding success, and population growth rate in a long-lived Antarctic seabird</t>
  </si>
  <si>
    <t>Weather extremes are one important element of ongoing climate change, but their impacts are poorly understood because they are, by definition, rare events. If the frequency and severity of extreme weather events increase, there is an urgent need to understand and predict the ecological consequences of such events. In this study, we aimed to quantify the effects of snow storms on nest survival in Antarctic petrels and assess whether snow storms are an important driver of annual breeding success and population growth rate. We used detailed data on daily individual nest survival in a year with frequent and heavy snow storms, and long term data on petrel productivity (i.e., number of chicks produced) at the colony level. Our results indicated that snow storms are an important determinant of nest survival and overall productivity. Snow storm events explained 30% of the daily nest survival within the 2011/2012 season and nearly 30% of the interannual variation in colony productivity in period 1985-2014. Snow storms are a key driver of Antarctic petrel breeding success, and potentially population dynamics. We also found state-dependent effects of snow storms and chicks in poor condition were more likely to die during a snow storm than chicks in good condition. This stresses the importance of considering interactions between individual heterogeneity and extreme weather events to understand both individual and population responses to climate change.</t>
  </si>
  <si>
    <t>Effects of Extreme Weather on Reproductive Success in a Temperate-Breeding Songbird</t>
  </si>
  <si>
    <t>Reproductive success is strongly related to local and regional climate in the Arctic snow bunting (Plectrophenax nivalis)</t>
  </si>
  <si>
    <t>Polar Biology</t>
  </si>
  <si>
    <t>Global climate change is regarded as one of the major threats to biodiversity. Both local and regional climate parameters can have strong effects on ecological processes affecting the survival and reproduction of plants and animals. High Arctic ecosystems are characterized by low species diversity and the local species have often evolved specific adaptations to the harsh Arctic environment. Here, we investigate the effect of local and regional climate parameters on snow bunting (Plectrophenax nivalis) reproductive success in the Arctic using a long-term dataset of 15 years. We found strong relationships between both local weather and the Arctic oscillation (AO), a regional climate index, with several breeding parameters. Onset of breeding was earlier in years with high spring temperatures and later in years with high AO index the preceding winter. Importantly, high AO winter index also increased the number of successful fledglings the following summer, possibly mediated via spring phenology. Nestling weight was negatively associated with the AO index during the breeding season. The strong effects of local and regional climate suggest that the ongoing global climate change could potentially have a large effect on this Arctic passerine population.</t>
  </si>
  <si>
    <t>Numerous studies carried out on different bird species have shown that weather conditions can modify their breeding biology at various stages in their reproduction. Directly or indirectly, meteorological factors can affect breeding suc- cess by modifying brood survival and the availability of food resources. The present study examined the relationships between weather conditions and selected breeding parameters in the Eurasian Bittern. It was carried out in 2003–2009 on extensively farmed carp ponds located in eastern Poland. With the aid of multiple regression models, we analysed the effect of the mean ambient temperature, mean daily temper- ature range, mean daily minimum temperature, total precipitation and mean wind speed on the number of eggs in a clutch, egg size, and partial losses of eggs and chicks. A significant adverse relationship between the sum of rainfall in the laying period and the mean egg volume in a clutch was found. Greater mortality among young Eurasian Bitterns was also correlated with strong rains and winds during the chick-rearing period. There were two critical periods in the population we studied – before the first egg was laid, and the chick-rearing period – which were particularly sensitive to changes in the weather.</t>
  </si>
  <si>
    <t>The effect of weather conditions on the breeding biology of the Eurasian Bittern Botaurus stellaris in eastern Poland</t>
  </si>
  <si>
    <t>1979-2018</t>
  </si>
  <si>
    <t>Eurasian Griffon</t>
  </si>
  <si>
    <t>Gyps</t>
  </si>
  <si>
    <t>fulvus</t>
  </si>
  <si>
    <t>2000-2006</t>
  </si>
  <si>
    <t>Upupidae</t>
  </si>
  <si>
    <t>epops</t>
  </si>
  <si>
    <t>precip related to breeding rate but not productivity</t>
  </si>
  <si>
    <t>lifetime productivity</t>
  </si>
  <si>
    <t>natal precipitation</t>
  </si>
  <si>
    <t>1987-2004, 2008-2019</t>
  </si>
  <si>
    <t>1987-2004</t>
  </si>
  <si>
    <t>rainfall throughout nesting period was split into 3-day periods and tested separately, but none were correlated with hatching success</t>
  </si>
  <si>
    <t>1985-1989, 1995-1997, 2009-2010</t>
  </si>
  <si>
    <t>Canada Goose</t>
  </si>
  <si>
    <t>Branta</t>
  </si>
  <si>
    <t>canadensis</t>
  </si>
  <si>
    <t>2003-2010</t>
  </si>
  <si>
    <t>maximum 1-day precipitation (mm)</t>
  </si>
  <si>
    <t>Disturbance is critical for the conservation of rangeland ecosystems worldwide and many of these systems are fire dependent. Although it is well established that restoring fire as an ecological process can lead to increased biodiversity in grasslands and shrublandss, the underlying mechanisms driving community patterns are poorly understood for fauna in fire-prone landscapes. Much of this uncertainty stems from the paucity of studies that examine the effects of fire at scales relevant to organism life histories. We assessed the response of a non-migratory ground-dwelling bird to disturbance (i.e., prescribed fire) and environmental stochasticity over the course of a 4-yr period, which spanned years of historic drought and record rainfall. Specifically, we investigated the nesting ecology of Northern Bobwhite (Colinus virginianus; hereafter Bobwhite) to illuminate possible avenues by which individuals respond to dynamic landscape patterns during a critical reproductive stage (i.e., nesting) in a mixed-grass shrublands in western Oklahoma, USA. We found that Bobwhites exhibited extreme plasticity in nest substrate use among time since fire categories (TSF) and subsequently maintained high nest survival (e.g., 57-70%). Bobwhites were opportunistic in nest substrate use among TSF categories (i.e., 72% of nest sites in shrubs in 0-12 months post fire compared to 71% in herbaceous vegetation in &gt;36 months post fire), yet nesting decisions were first filtered by similar structural components (i.e., vertical and horizontal cover) within the vicinity of nest sites regardless of TSF category. Despite being a non-migratory and comparatively less mobile ground-nesting bird species, Bobwhites adjusted to dynamic vegetation mosaics on a fire-prone landscape under stochastic climatic conditions that culminated in stable and high nest survival. Broadly, our findings provide a unique depiction of organism response strategies to fire at scales relevant to a critical life-stage, a topic that has been previously understudied and poorly understood. We also demonstrate how doing so can better inform conservation practices aimed at restoring fire regimes on grasslands and shrublands landscapes. © 2017 by the Ecological Society of America.</t>
  </si>
  <si>
    <t>Native grasslands have been altered to a greater extent than any other biome in North America. The habitats and resources needed to support breeding performance of grasslands birds endemic to prairie ecosystems are currently threatened by land management practices and impending climate change. Climate models for the Great Plains prairie region predict a future of hotter and drier summers with strong multiyear droughts and more frequent and severe precipitation events. We examined how fluctuations in weather conditions in eastern Colorado influenced nest survival of an avian species that has experienced recent population declines, the Mountain Plover (Charadrius montanus). Nest survival averaged 27.2% over a 7-yr period (n =936 nests) and declined as the breeding season progressed. Nest survival was favored by dry conditions and cooler temperatures. Projected changes in regional precipitation patterns will likely influence nest survival, with positive influences of predicted declines in summer rainfall yet negative effects of more intense rain events. The interplay of climate change and land use practices within prairie ecosystems may result in Mountain Plovers shifting their distribution, changing local abundance, and adjusting fecundity to adapt to their changing environment. © 2012 by the author(s).</t>
  </si>
  <si>
    <t>Vast areas of North American grasslands have been lost and degraded, resulting in unprecedented declines of biodiversity. For example, 82% of North American grasslands songbird species are experiencing population declines. Basic natural history, life history, and demographic data from different regions and time periods are essential for modeling population dynamics and developing effective conservation strategies for grasslands birds. We monitored 392 nests to provide information on nesting biology, quantify reproductive success, and gain insight into the extent to which predation and weather influence nest survival of 7 grasslands songbird species in southwest Saskatchewan, during 2010 and 2011. Clutch sizes of all species were within the range reported previously and declined as the breeding season progressed, particularly for Chestnut-collared Longspur (Calcarius ornatus), Vesper (Pooecetes gramineus) and Baird's (Centronyx bairdii) sparrows, and Western Meadowlark (Sturnella neglecta). Overall, 32-69% of the nests we monitored were depredated, and predation accounted for 91% of all unsuccessful nesting attempts. Daily survival rates were lowest during the nestling stage for 5 species, and nest survival estimates ranged from 16% to 48%. Nest survival of 4 species was influenced by the temporal effects of age and date. Chestnut-collared Longspur and Western Meadowlark nest survival increased through early to mid-incubation and declined thereafter until âˆ¼3 d prior to fledging before increasing again. Nest survival of these 2 species, along with Sprague's Pipit (Anthus spragueii) and Vesper Sparrow, were lowest in late June to early July. We found no support for a strong effect of precipitation on nest survival. However, nest survival rates declined with increasing ambient temperature for Chestnut-collared Longspur and Horned Lark (Eremophila alpestris), the 2 study species with the most exposed nests, and were highest for Western Meadowlark nests when ambient temperatures were between 15 and 24 °C. © 2020 Wilson Ornithological Society. All rights reserved.</t>
  </si>
  <si>
    <t>grasslands resulting from surface mine reclamation support grasslands songbird populations in several midwestern and eastern states in the United States, especially where reclaimed mines are large (&amp;gt;1,000ha). However, most reclaimed surface mines in Pennsylvania are small (&amp;lt;200ha), and nest success is unknown. We evaluated nest success of grasshopper (Ammodramus savannarum), Henslow's (A. henslowii), and Savannah sparrows (Passerculus sandwichensis) on 4 reclaimed surface mines (50-180ha) in western Pennsylvania, USA from 2006 to 2007. Overall nest success based on mean covariate values was 0.435 (95% CI = 0.376-0.504) for grasshopper sparrows, 0.396 (95% CI = 0.295-0.533) for Henslow's sparrows, and 0.158 (95% CI = 0.063-0.392) for Savannah sparrows. These estimates of nest success are comparable to those on larger reclaimed mines and other habitats. Grasshopper and Henslow's sparrow nests that were well concealed were less likely to fail than highly visible nests (βvisible = -0.028, CI = -0.051 to -0.005 for grasshopper sparrows; βvisible = -0.063, CI = -0.112 to -0.014 for Henslow's sparrows), and nests in areas with surrounding deep litter were more likely to fail than nests in areas with shallow litter (βlitterD = -0.145, CI = -0.335 to 0.045 for grasshopper sparrows; βlitterD = -0.676, CI = -1.187 to -0.116 for Henslow's sparrows). Savannah sparrow nests in areas with high visual obstruction by vegetation were less likely to fail than nests in areas with sparse and short vegetation (βVisOb = 0.048, CI = 0.006-0.091). Daily probability of survival for grasshopper sparrow nests was greatest early and late in the breeding season, and Savannah sparrow nest survival followed a decreasing linear trend. Nest survival of Henslow's sparrows was greater on warm days (βtemp = 0.197, CI = 0.014-0.379), whereas for Savannah sparrows nest survival decreased on warm days and on days with rain, but for Savannah sparrows confidence intervals of weather effects included zero (βtemp = -0.098, CI = -0.246 to 0.050; βrain = 3.13, CI = -14.19 to 20.45). We suggest that small reclaimed surface mine grasslands can provide valuable nesting habitat and could be important to the conservation of grasslands bird populations. Because nest success can increase in the latter part of the nesting season, agricultural disturbances or management activities in mid- to late summer could adversely affect reproductive success. © 2011 The Wildlife Society.</t>
  </si>
  <si>
    <t>annual productivity</t>
  </si>
  <si>
    <t>breeding season precipitation anomaly</t>
  </si>
  <si>
    <t>2005-2006</t>
  </si>
  <si>
    <t>Least Tern</t>
  </si>
  <si>
    <t>2003-2006</t>
  </si>
  <si>
    <t>Laridae</t>
  </si>
  <si>
    <t>Sternula</t>
  </si>
  <si>
    <t>antillarum</t>
  </si>
  <si>
    <t>April mean daily precipitation &gt;0.3 cm</t>
  </si>
  <si>
    <t>1992-1993</t>
  </si>
  <si>
    <t>European Shag</t>
  </si>
  <si>
    <t>1994-1997</t>
  </si>
  <si>
    <t>more chick mortalities on days with more days of wind and rain</t>
  </si>
  <si>
    <t>Phalacrocoracidae</t>
  </si>
  <si>
    <t>Gulosus</t>
  </si>
  <si>
    <t>aristotelis</t>
  </si>
  <si>
    <t>1976-1980</t>
  </si>
  <si>
    <t>Impacts of nest predators and weather on reproductive success and population limitation in a long-distance migratory songbird</t>
  </si>
  <si>
    <t>Although avian nesting success is much studied, little is known about the relative importance of the factors that contribute to annual reproductive success and population limitation, especially for long-distance migratory songbird species. We combined a field experiment limiting access to nests by mammalian predators with modeling of long-term field data of American redstarts (Parulidae: Setophaga ruticilla) to assess the effects of multiple environmental variables on breeding success and population limitation. Experimental treatment (baffles placed around tree boles beneath active nests; n = 71) increased nesting success of this single-brooded species significantly (77 vs 50% in controls; n = 343), demonstrating that scansorial mammals, primarily red squirrels Tamiasciurus hudsonicus and eastern chipmunks Tamias striatus, reduced reproductive success. Based on unbaffled nests (n = 466), daily nest survival varied annually, and was positively influenced by May temperature and negatively by sciurid nest predator abundance. Daily nest survival was also influenced positively by June rainfall, and declined with nest age but not with calendar date. Since nest failure was overwhelmingly caused by nest predation, these significant climate and nest-age effects in our models are indirect, likely influencing nest predator and/or nesting bird behaviors that in turn influenced nest predation. Redstart population density had no effect on nesting success, after accounting for other factors. Annual reproductive success accounted for 34% of the variability in annual population change in redstarts in our study area. Our findings document 1) breeding season population limitation in this species, 2) a link between tree masting and bird population dynamics via mammal population fluctuations, 3) the independent contributions of summer versus winter population processes in a migratory species, and 4) the potential complexity of climate-biotic interactions. © 2015 Nordic Society Oikos.</t>
  </si>
  <si>
    <t>Brewer's Sparrow</t>
  </si>
  <si>
    <t>Sagebrush Sparrow</t>
  </si>
  <si>
    <t>2017-2019</t>
  </si>
  <si>
    <t>2017-2020</t>
  </si>
  <si>
    <t>95%CI: 0.01,0.66 (first order); -0.03, -0.01 (second order)</t>
  </si>
  <si>
    <t>0.33 (first order), -0.02 (second order)</t>
  </si>
  <si>
    <t>cumulative precipitation over a 10-day period</t>
  </si>
  <si>
    <t>cumulative precipitation over a 5-day period</t>
  </si>
  <si>
    <t>Spizella</t>
  </si>
  <si>
    <t>breweri</t>
  </si>
  <si>
    <t>Artemisiospiza</t>
  </si>
  <si>
    <t>nevadensis</t>
  </si>
  <si>
    <t>bioyear precipitation (October - April)</t>
  </si>
  <si>
    <t>precipitation during incubation period</t>
  </si>
  <si>
    <t>American Pipit</t>
  </si>
  <si>
    <t>rubescens</t>
  </si>
  <si>
    <t>Red-faced Warbler</t>
  </si>
  <si>
    <t>Cardellina</t>
  </si>
  <si>
    <t>rubrifrons</t>
  </si>
  <si>
    <t>nest abandonment</t>
  </si>
  <si>
    <t>snowstorm</t>
  </si>
  <si>
    <t>Antarctic Petrel</t>
  </si>
  <si>
    <t>antarctica</t>
  </si>
  <si>
    <t>Thalassoica</t>
  </si>
  <si>
    <t>1985, 1990, 1992-1995, 1997, 1998, 2001, 2012-2014</t>
  </si>
  <si>
    <t>storm</t>
  </si>
  <si>
    <t>number of days with rainfall &gt;10mm</t>
  </si>
  <si>
    <t>also tested indices relating to the NAO, but none were in top ranked model</t>
  </si>
  <si>
    <t>Snow Bunting</t>
  </si>
  <si>
    <t>1998-2012</t>
  </si>
  <si>
    <t>Plectrophenax</t>
  </si>
  <si>
    <t>nivalis</t>
  </si>
  <si>
    <t>Atlantic Oscillation in June and July</t>
  </si>
  <si>
    <t>Atlantic Oscillation for preceding December-March</t>
  </si>
  <si>
    <t>Great Bittern</t>
  </si>
  <si>
    <t>Botaurus</t>
  </si>
  <si>
    <t>stellaris</t>
  </si>
  <si>
    <t>sum of rainfall during incubation period (mm)</t>
  </si>
  <si>
    <t>Influence of extreme and typical rainfall on nestling body condition of the endangered Norfolk Island Morepork: conservation implications of climate change</t>
  </si>
  <si>
    <t>annual rainfall (mm)</t>
  </si>
  <si>
    <t>1989-2007, 2019</t>
  </si>
  <si>
    <t>Ninox</t>
  </si>
  <si>
    <t>novaeseelandiae</t>
  </si>
  <si>
    <t>Morepork</t>
  </si>
  <si>
    <t>Akohekohe</t>
  </si>
  <si>
    <t>Fringillidae</t>
  </si>
  <si>
    <t>Palmeria</t>
  </si>
  <si>
    <t>dolei</t>
  </si>
  <si>
    <t>periods of heavy rain and high winds</t>
  </si>
  <si>
    <t>nests failed after wind and rain because nests disintegrated</t>
  </si>
  <si>
    <t>Effects of forestry and other land-use practices on the conservation of cinereous vultures</t>
  </si>
  <si>
    <t>Managing forests to meet both production and conservation goals is a growing challenge around the world, particularly as forest areas devoid of human intervention continue to shrink in area. There is a general tack of information about the response of long-lived vertebrates to silvicultural treatments due to the difficulty of carrying out long-term studies that can disentangle the effects of forestry from other factors influencing the distribution and numbers of large organisms. We examined the responses of the Cinereous Vulture, Aegypius monachus, to two divergent forestry practices in two colonies where similar to10\% of the European population breeds: (1) long-term exploitation of mature forest in high mountains (highland colony), and (2) clear-cutting and regeneration in lower altitude mountain areas (lowland colony). Distribution patterns of Cinereous Vultures were determined mainly by forestry and human-related activities, as well as by orographic variables, whereas forest structure had a lesser influence. Ecological factors such as orography and forest structure had a greater influence in the distribution and abundance of vultures in the highland area, whereas the influence of variables associated with human disturbance was stronger in the lowland area. Vultures in the lowland area consistently selected areas with a low incidence of forestry activity to breed. A major fraction of the variability of breeding success was not explained by the factors considered, although human-caused disturbance and rainfall during the nestling period had negative effects on breeding success in the lowland colony. The negative effects of forestry activities may persist for a long time, even after the direct impacts of these activities have diminished. In order to effectively conserve breeding areas, it may be necessary to protect suitable habitat from human activity near nests. In addition, halting illegal poisoning is a strict necessity to guarantee the conservation of colonies. Social conflict between conservationists and forest managers who employ local people in nonproductive forestry tasks could easily be resolved by conducting silviculture-related practices in areas that are unimportant for conservation and directing employment toward activities related to nature conservation.</t>
  </si>
  <si>
    <t>compared two study sites; parameter estimates for one site (significant results) exist, but are not reported at second site (not significant); days with rain, May-July</t>
  </si>
  <si>
    <t>days with rain</t>
  </si>
  <si>
    <t>BiomeCode</t>
  </si>
  <si>
    <t>PrecipCode</t>
  </si>
  <si>
    <t>95CI_lwr</t>
  </si>
  <si>
    <t>95CI_upr</t>
  </si>
  <si>
    <t>StudyPeriod</t>
  </si>
  <si>
    <t>ResponseCode</t>
  </si>
  <si>
    <t>ResponseVariable</t>
  </si>
  <si>
    <t>PrecipMetric</t>
  </si>
  <si>
    <t>Relationship</t>
  </si>
  <si>
    <t>EffectSize</t>
  </si>
  <si>
    <t>EffectSizeSE</t>
  </si>
  <si>
    <t>EffectSizeMetric</t>
  </si>
  <si>
    <t>SampleSize</t>
  </si>
  <si>
    <t>SampleSizeUnit</t>
  </si>
  <si>
    <t>NatureOfRelationship</t>
  </si>
  <si>
    <t>NestCover</t>
  </si>
  <si>
    <t>GroundNest</t>
  </si>
  <si>
    <t>NestType</t>
  </si>
  <si>
    <t>NGDevelopment</t>
  </si>
  <si>
    <t>ParentalCare</t>
  </si>
  <si>
    <t>AvgBodySize</t>
  </si>
  <si>
    <t>wooded</t>
  </si>
  <si>
    <t>nest</t>
  </si>
  <si>
    <t>nesting</t>
  </si>
  <si>
    <t>days with heavy rainfall decreased nestling survival, particularly heavy rainfall events; 38% of mortalities directly caused by rainfall!; no trends found when rainfall summed to total annual rainfall; heavy rain = # of days with heavy rain (&gt;8mm)</t>
  </si>
  <si>
    <t>temperate forest</t>
  </si>
  <si>
    <t>annual precipitation (mm, mean)</t>
  </si>
  <si>
    <t>lagged</t>
  </si>
  <si>
    <t>annual precipitation</t>
  </si>
  <si>
    <t>Upupa</t>
  </si>
  <si>
    <t>precipitation 1-5 days before hatching</t>
  </si>
  <si>
    <t>precipitation 1-5 days after hatching</t>
  </si>
  <si>
    <t>positive relationship between winter precip and daily nest survival; winter precipitation (December to February)</t>
  </si>
  <si>
    <t>daily</t>
  </si>
  <si>
    <t>breeding season precipitation, 1-year lag</t>
  </si>
  <si>
    <t>aquatic</t>
  </si>
  <si>
    <t>cumulative rainfall (mm) between laying date and 14th day of the chick-rearing period</t>
  </si>
  <si>
    <t>Spring rainfall</t>
  </si>
  <si>
    <t>authors state in 1986, neg relationship between rainfall and nest survival; in 1987, quadratic relationship with lowest survival in periods of intermediate rain, however neither of these relationships were signiicant based on p value.; average daily rainfall (cm) from the interval before failing or succeeding (intervals usually 7-10 days)</t>
  </si>
  <si>
    <t>daily nestling survival</t>
  </si>
  <si>
    <t>rainfall likely impacts veg and arthropod abundance; annual rainfall in previous year (1 Aug to 31 July)</t>
  </si>
  <si>
    <t>bioyear rainfall, 1-year lag</t>
  </si>
  <si>
    <t>centroid of two study sites taken for lat/long; elevation is average between both study sites; breeding season rainfall (April &amp; May; mm); nest success = mean nest survival over breeding period</t>
  </si>
  <si>
    <t>mean nest survival</t>
  </si>
  <si>
    <t>bioyear precipitation</t>
  </si>
  <si>
    <t>ludovicianus</t>
  </si>
  <si>
    <t>daily nest survival decreased with more rainfall later in the breeding season (mid-May to mid-July), likely due to food- and predator-mediated impacts; average daily rainfall from mid-May to mid-July (late breeding season)</t>
  </si>
  <si>
    <t>breeding season precipitation</t>
  </si>
  <si>
    <t>nycticorax</t>
  </si>
  <si>
    <t>model-averaged estimates of nest survival; positive relationship between nest survival and precip; paper does not explain mechanisms; rainfall over incubation period (mm)</t>
  </si>
  <si>
    <t>incubation rainfall</t>
  </si>
  <si>
    <t>individual</t>
  </si>
  <si>
    <t>developed</t>
  </si>
  <si>
    <t>also related weather variables to feathers in nest to see if feathers could buffer nestlings from adverse weather; precip in mm</t>
  </si>
  <si>
    <t>also related weather variables to feathers in nest to see if feathers could buffer nestlings from adverse weather; rainfall during the incubation stage (mm)</t>
  </si>
  <si>
    <t>summed daily precipitation, current and lagged 15, 30, and 45 days</t>
  </si>
  <si>
    <t>precipitation prior to nesting</t>
  </si>
  <si>
    <t>breeding season precipitation, 1-year lag (units of 50mm)</t>
  </si>
  <si>
    <t>Mauritius Kestrel</t>
  </si>
  <si>
    <t>agriculture had a negative impact on proportion fledged in wet springs, but positive impact on proportion fledged in dry springs; likely indirect via prey availability; December rainfall (cm, sum)</t>
  </si>
  <si>
    <t>December rainfall</t>
  </si>
  <si>
    <t>cannot distinguish DSR for two species</t>
  </si>
  <si>
    <t>rainfall over previous 30 days</t>
  </si>
  <si>
    <t>precip decreased nest success; nest success = probability nest will fledge young</t>
  </si>
  <si>
    <t>cumulative rainfall during the nesting period</t>
  </si>
  <si>
    <t>winter and breeding season precipitation</t>
  </si>
  <si>
    <t>boreal forest</t>
  </si>
  <si>
    <t>precipitation 2-3 months prior to breeding season</t>
  </si>
  <si>
    <t>probability of nest predation</t>
  </si>
  <si>
    <t>precipitation preceding breeding season</t>
  </si>
  <si>
    <t>nest success varied with nest age, nest initiation time, and year; bioyear precipitation = annual precipitation 12 months preceding the nesting season</t>
  </si>
  <si>
    <t>days with snow</t>
  </si>
  <si>
    <t>SOI, 2-year lag</t>
  </si>
  <si>
    <t>SOI, 1-year lag</t>
  </si>
  <si>
    <t>heavy rainfall</t>
  </si>
  <si>
    <t>consecutive days of precipitation</t>
  </si>
  <si>
    <t>maximum daily precipitation when nestlings are 4 weeks old</t>
  </si>
  <si>
    <t>maximum daily precipitation within arrival week</t>
  </si>
  <si>
    <t>the odds of breeding failure increased by 8.7% with every 1cm increasing in May/June precip, therefore coded as negative relationship; May and June rainfall (sum)</t>
  </si>
  <si>
    <t>98% change in mean number of fledged young with more cumulative precip in April and May; May and June cumulative precip</t>
  </si>
  <si>
    <t>also tested indices relating to the NAO, but none were in top ranked model; precipitation in June and July</t>
  </si>
  <si>
    <t>Leuconotopicus</t>
  </si>
  <si>
    <t>no relationship between nest success and weather, but authors mention nest failure from a hail storm; precipitation - no description of time period</t>
  </si>
  <si>
    <t>parameter estimate is on logit scale; daily nest survival calculated during nestling stage; daily precip (mm)</t>
  </si>
  <si>
    <t>SST impacts fledging rates because of food availability; calculated as the number of fledged chicks/number of eggs hatched</t>
  </si>
  <si>
    <t>breeding season SST</t>
  </si>
  <si>
    <t>number of days with rain within 5-day period</t>
  </si>
  <si>
    <t>days with heavy rain</t>
  </si>
  <si>
    <t>model also includes post-monsoon rainfall, but this overlaps with annual rainfall, so not included in this dataset; total annual rainfall (mm); breeding success = % of pairs that fledged per chick</t>
  </si>
  <si>
    <t>paper says no relationship between precip and success rate; correlation reported, but can likely only include in qualitative analysis; average precip June to September</t>
  </si>
  <si>
    <t>Spring precipitation</t>
  </si>
  <si>
    <t>precipitation during nesting period</t>
  </si>
  <si>
    <t>SPEI, 1-year lag</t>
  </si>
  <si>
    <t>analyzed a variety of predictors for survival and breeding success; split one-, two-, and three-egg nests during analyses; October - February rainfall (mm)</t>
  </si>
  <si>
    <t>mean precipitation in preceding week</t>
  </si>
  <si>
    <t>April-June rainfall; productivity = number of fledglings produced</t>
  </si>
  <si>
    <t>different sites sampled in different years; Jan-Jun precip in previous year (sum)</t>
  </si>
  <si>
    <t>Spring precipitation, 1-year lag</t>
  </si>
  <si>
    <t xml:space="preserve">different sites sampled in different years;  rainfall metric is Apr-May precip in previous year </t>
  </si>
  <si>
    <t>September rainfall</t>
  </si>
  <si>
    <t>PCA: winter weather (number of rain days, total rain, and intensity of rain)</t>
  </si>
  <si>
    <t>rainfall was a marginally significant predictor of fledgling number in 1991 but not 1992;  number of fledglings = fledglings per pair</t>
  </si>
  <si>
    <t>breeding season drought</t>
  </si>
  <si>
    <t>average daily winter precipitation on wintering grounds November-December</t>
  </si>
  <si>
    <t>breeding success = % clutches that produced young</t>
  </si>
  <si>
    <t>total precipitation May-July (mm)</t>
  </si>
  <si>
    <t>breeding season rainfall (mm)</t>
  </si>
  <si>
    <t>monthly precipitation in nest initiation month</t>
  </si>
  <si>
    <t>rainfall impacts parasite presence; average rainfall throughout nesting period</t>
  </si>
  <si>
    <t>daily precipitation, 1-day lag</t>
  </si>
  <si>
    <t>bioyear rainfall =  October-April</t>
  </si>
  <si>
    <t>monthly precipitation (mm)</t>
  </si>
  <si>
    <t>identified correlations but did not say if relationships were positive or negative; some pairs use platform nests, particularly in younger forests; breeding season (rainfall) is March - May; annual productivity = mean fledglings per pair per year</t>
  </si>
  <si>
    <t>excluded nests that were depredated; number of days with &gt;10mm of rain</t>
  </si>
  <si>
    <t>mean total precipitation during breeding season</t>
  </si>
  <si>
    <t>mean maximum precipitation during breeding season</t>
  </si>
  <si>
    <t>productivity/fecundity/number of fledglings per pair</t>
  </si>
  <si>
    <t>mean precipitation during the nestling period (mm)</t>
  </si>
  <si>
    <t>mean precipitation during the nestling period</t>
  </si>
  <si>
    <t>authors state positive relationship between FAILURE and precip, therefore coded as a negative relationship; breeding season rainfall (April-May rainfall, sum)</t>
  </si>
  <si>
    <t>precip negatively related to nest predation, therefore positively related to nest success; nest failure speicfically how many nests failed due to predation</t>
  </si>
  <si>
    <t>partial clutch loss</t>
  </si>
  <si>
    <t>more losses with rainfall during nestling period, therefore neg relationship between rainfall and nest success; sum of rainfall during nestling period (mm)</t>
  </si>
  <si>
    <t>precipitation in the last ten days of April</t>
  </si>
  <si>
    <t>bioyear rainfall (July 1-June 30)</t>
  </si>
  <si>
    <t>Little Penguin</t>
  </si>
  <si>
    <t>nest flooding a leading cause of nest failure; hazard functions for nest survival rainfall metric unclear, bioyear rainfall (April 1 - July 31; nestlings semi-precocial, coded as altricial</t>
  </si>
  <si>
    <t>productivity =  mean number of nestlings per egg-laying female</t>
  </si>
  <si>
    <t>daily precip (cm)</t>
  </si>
  <si>
    <t>daily departure from normal rainfall during May 1-June 9 (cm)</t>
  </si>
  <si>
    <t>flooding</t>
  </si>
  <si>
    <t>hatching success = brood size/clutch size</t>
  </si>
  <si>
    <t>fledging success = # of fledglings/brood size; bioyear precipitation (October - April)</t>
  </si>
  <si>
    <t>fledging success = # of fledglings/brood size</t>
  </si>
  <si>
    <t>daily precipitation, 2-day lag</t>
  </si>
  <si>
    <t>daily nestling survival day 6-10; daily sum of precipitation (mm)</t>
  </si>
  <si>
    <t>daily nestling survival day 11-14; daily sum of precipitation (mm)</t>
  </si>
  <si>
    <t>daily nestling survival day 1-4; daily sum of precipitation (mm)</t>
  </si>
  <si>
    <t>June rainfall</t>
  </si>
  <si>
    <t>nest success = product of daily survival rate; breeding season = April-July</t>
  </si>
  <si>
    <t>albogularis</t>
  </si>
  <si>
    <t>daily rainfall &gt;10mm</t>
  </si>
  <si>
    <t>bioyear rainfall = total rainfall September-August (cm)</t>
  </si>
  <si>
    <t>lower values of SOI tend to be preceded by longer dry seasons; reproductive rate = number of fledglings per female</t>
  </si>
  <si>
    <t>breeding season rainfall = rainfall November - April</t>
  </si>
  <si>
    <t>July rainfall</t>
  </si>
  <si>
    <t>authors created a reproductive index that incorporated reproductive outcome/potential; annual mean monthly precip October-December</t>
  </si>
  <si>
    <t>winter and spring precipitation</t>
  </si>
  <si>
    <t>also related precip to GRSP and HESP but they were not in top model; daily rainfall event &gt;0.254 cm</t>
  </si>
  <si>
    <t>more nestlings disappeared with higher daily precip; therefore relationship between nestling survival and precip is negative; daily precip (mm)</t>
  </si>
  <si>
    <t>variety of habitats: grasslands, ag, pasture, forest; daily precipitation (mm)</t>
  </si>
  <si>
    <t>breeding season rainfall = summed daily precipitation from first day of measured precip to last day of measured precip</t>
  </si>
  <si>
    <t>days with wind and rain</t>
  </si>
  <si>
    <t>tested relationship between rainfall and a variety of nest metrics, only significant relationship was clutch size; rainfall March 1 - June 30</t>
  </si>
  <si>
    <t>Scripp's Murrelet</t>
  </si>
  <si>
    <t>Sunthliboramphus</t>
  </si>
  <si>
    <t>scrippsi</t>
  </si>
  <si>
    <t>number of eggs hatched/nest</t>
  </si>
  <si>
    <t>PDSI during April (breeding season)</t>
  </si>
  <si>
    <t>more nest depredation in drought conditions likely leads to lower nest success, therefore positive relationship between precip and nest success</t>
  </si>
  <si>
    <t>1983-2013</t>
  </si>
  <si>
    <t>Carry-over Effects of Weather and Decision-Making on Nest Success of a Migratory Shorebird</t>
  </si>
  <si>
    <t>Weather conditions experienced by birds can influence their migration decision-making and strategy both within and across seasons. Additionally, decision-making during migration may influence subsequent fitness (reproductive success and/or survival). Examining the effects of fine-scale weather variables on individuals throughout the year could help identify stages of the annual cycle when species may be most affected by weather. In this study, we captured 24 black-bellied plovers (gray plovers; Pluvialis squatarola) on nonbreeding areas along the western Gulf of Mexico coast and tracked their locations once every 2 h through their breeding season in the Alaskan and Canadian Arctic. We quantified migration strategies and weather conditions experienced by each individual throughout the nonbreeding, northward migration, and breeding seasons. We used a Bayesian hierarchical model which connected regressions linking weather with migration metrics, and migration metrics and breeding season weather with reproductive success. We found strong negative relationships between two migration metrics (migration duration and number of stopovers) and reproductive success, but no substantial relationships between breeding season weather variables and reproductive success. We found negative relationships between nonbreeding season temperature, migration temperature, and migration NDVI and both migration duration and number of stopovers, in addition to positive relationships between the number of stopovers and storms during migration, migration duration, and nonbreeding season precipitation. These results suggest that reproductive success is influenced by weather throughout the annual cycle and migration strategy is a key mechanism through which these effects operate. Our findings suggest that environmental factors throughout the year influence shorebird fitness, and, because black-bellied plovers are often associated with mixed-species flocks, many species likely experience similar constraints. © 2022 The Authors. Ecology and Evolution published by John Wiley &amp; Sons Ltd.</t>
  </si>
  <si>
    <t>AddedFromUpdatedSearch?</t>
  </si>
  <si>
    <t>Demography of Common Swifts (Apus Apus) Breeding in the UK Associated with Local Weather but Not Aphid Biomass</t>
  </si>
  <si>
    <t>In common with many other insectivorous birds, the Common Swift Apus
apus is undergoing population declines, with an estimated 57\% reduction
in abundance between 1995 and 2017 in the UK. The ultimate drivers of
this decline are poorly understood but links have been drawn to
reductions in the abundance and availability of insect prey, as well as
loss of nesting sites. The aim of this study is to improve understanding
of the demographic and environmental drivers of Swift decline in Great
Britain, with a particular focus on weather and aphid biomass. We
explore spatio-temporal trends in the biomass of aphids, an important
source of food for these aerial feeders, from a network of 17
suction-traps, each 12.2 m in length. We then use data from national
nest recording and ringing schemes to describe temporal trends in, and
covariates of, Swift breeding success and annual survival. Demographic
data are sparse prior to the mid-1990s but show stable adult survival, a
reduction in first-year survival and an increase in nest failure rate
since the mid-1970s. Despite marked declines in aphid biomass across
much of southern and eastern England during this period, we find no
association between aphid biomass and Swift demography. Weather was a
stronger correlate of variation in Swift demography, with increased
precipitation associated with smaller brood size, higher nest failure
rate and lower first-year survival. Our data suggest that falling
first-year survival, partly linked to wetter summers, may be the most
likely demographic driver of population decline. Given that the only
convincing correlates of Swift demography were weather-related, we
suggest it would be precautionary for conservation efforts to continue
to focus on ensuring that safe and productive nesting sites are in
sufficient supply. Further research to identify habitats and land
management practices which provide foraging resources, particularly
during periods of inclement weather, is required, and future demographic
modelling exercises would benefit from increased nest recording and
ringing efforts.</t>
  </si>
  <si>
    <t>Interacting Effects of Cold Snaps, Rain, and Agriculture on the Fledging Success of a Declining Aerial Insectivore</t>
  </si>
  <si>
    <t>Climate change predicts the increased frequency, duration, and intensity of inclement weather periods such as unseasonably low temperatures (i.e., cold snaps) and prolonged precipitation. Many migratory species have advanced the phenology of important life history stages and, as a result, are likely to be exposed to these periods of inclement spring weather more often, therefore risking reduced fitness and population growth. For declining avian species, including aerial insectivores, anthropogenic landscape changes such as agricultural intensification are another driver of population declines. These landscape changes may affect the foraging ability of food provisioning parents and reduce the survival of nestlings exposed to inclement weather through, for example, pesticide exposure impairing thermoregulation and punctual anorexia. Breeding in agro-intensive landscapes may therefore exacerbate the negative effects of inclement weather under climate change. We observed that a significant reduction in the availability of insect prey occurred when daily maximum temperatures fell below 18.3°C, and thereby defined any day when the maximum temperature fell below this value as a day witnessing a cold snap. We then combined daily information on the occurrence of cold snaps and measures of precipitation to assess their impact on the fledging success of Tree Swallows (Tachycineta bicolor) occupying a nest box system placed across a gradient of agricultural intensification. Estimated fledging success of this declining aerial insectivore was 36.2% lower for broods experiencing 4 cold-snap days during the 12 days post-hatching period versus broods experiencing none, and this relationship was worsened when facing more precipitation. We further found that the overall negative effects of a brood experiencing periods of inclement weather was exacerbated in more agro-intensive landscapes. Our results indicate that two of the primary hypothesized drivers of many avian population declines may interact to further increase the rate of declines in certain landscape contexts. © 2022 The Ecological Society of America.</t>
  </si>
  <si>
    <t>Effects of Spring Weather on Laying Dates, Clutch Size, and Nest Survival of Ground-Nesting Passerines in Abandoned Fields</t>
  </si>
  <si>
    <t>Weather conditions have a significant impact on the life-history
strategies of birds. The mechanisms by which weather variability drives
demographic processes in boreal passerines have been investigated
insufficiently. We examined the effects of spring weather on first
egg-laying dates, clutch size, and nest survival of Booted Warbler
(Iduna caligata) and Whinchat (Saxicola rubetra) breeding in abandoned
agricultural fields in the north of European Russia in 2005-2019. We
used general linear models to express first egg-laying dates and clutch
size and program MARK to model nest survival as a function of weather
variables. Our results demonstrated that variability of May
precipitation and averaged daily temperature are important drivers of
first egg dates, clutch size, and nest survival in both species. The
first egg dates of Booted Warblers and Whinchats were determined
primarily by the May temperature: the warmer the weather in May, the
earlier the laying dates. Taking into account the effect of the first
egg date, the clutch size of Booted Warblers strongly depended on the
May averaged daily temperatures, whereas the clutch size of Whinchats
was weakly affected by May precipitation. The spring weather had a
strong impact on Booted Warbler and Whinchat nest survival, potentially
by influencing the activity of nest predators. We suggest that years
with a coincidence of low spring precipitation and temperature are the
``bad `` years for reproduction of boreal grassland birds.</t>
  </si>
  <si>
    <t>Early Life Conditions Influence Fledging Success and Subsequent Local Recruitment Rates in a Declining Migratory Songbird, the Whinchat Saxicola Rubetra</t>
  </si>
  <si>
    <t>Life history traits and environmental conditions influence reproductive success in animals, and consequences of these can influence subsequent survival and recruitment into breeding populations. Understanding influences on demographic rates is required to determine the causes of decline. Migratory species experience spatially and temporally variable conditions across their annual cycle, making identifying where the factors influencing demographic rates operate challenging. Here, we use the Whinchat Saxicola rubetra as a model declining long-distance migrant bird. We analyse 10 years of data from 247 nesting attempts and 2519 post-fledging observations of 1193 uniquely marked nestlings to examine the influence of life history traits, habitat characteristics and weather on survival of young from the nestling stage to local recruitment into the natal population. We detected potential silver spoon effects where conditions during the breeding stage influence subsequent apparent local recruitment rates, with higher recruitment for fledglings from larger broods, and recruitment rate negatively related to rainfall that chicks experienced in-nest. Additionally, extreme temperatures experienced pre- and post-fledging increased fledging success and recruitment rate. However, we could not determine whether this was driven by temperature influencing mortality during the post-fledging period or later in the annual cycle. Brood size declined with hatching date. In-nest survival increased with brood size and was highest at local temperature extremes. Furthermore, nest survival was highest at nests surrounded with 40%–60% vegetation cover of Bracken Pteridium aquilinum within 50 m of the nest. Our results show that breeding phenology and environmental factors may influence fledging success and recruitment in songbird populations, with conditions experienced during the nestling stage influencing local recruitment rates in Whinchats (i.e. silver spoon effect). Recruitment rates are key drivers of songbird population dynamics. Our results help identify some of the likely breeding season mechanisms that could be important population drivers. © 2023 The Authors. Ecology and Evolution published by John Wiley &amp; Sons Ltd.</t>
  </si>
  <si>
    <t>State-Dependent Environmental Sensitivity of Reproductive Success and Survival in a Shorebird</t>
  </si>
  <si>
    <t>To understand the consequences of anthropogenic and environmental
changes for wildlife populations, it is important to study how
individuals differ in their sensitivity to environmental change and
whether this depends on individual characteristics. An individual's
reproductive performance may provide an integrative, unidimensional
proxy of an individual's characteristics. In this study, we define an
individual's characteristics by three such reproductive states, namely
successful, failed and non-breeders in the previous year. We used a
16-year dataset of individually marked breeding Eurasian Oystercatchers
Haematopus ostralegus to examine the interannual fluctuations in
reproductive success and survival among breeding states, and their
state-dependent sensitivity to environmental conditions. Environmental
conditions included available biomass of the main prey species of
breeding Oystercatchers (Ragworm, Baltic Tellin and Lugworm), tidal
height, which reflects one of the main causes of nest loss (flooding),
and conditions that may impact the energetic requirements during
incubation, such as temperature. We also included environmental
variables measured in winter, including available biomass of the main
winter prey species (Blue Mussel and Common Cockle) along with factors
that may affect food availability and energetic requirements for
homeostasis, namely bivalve weight loss, windchill, winter severity and
precipitation. Breeding birds that were successful the previous year had
higher survival and were more likely to remain successful, in comparison
with failed or non-breeders. The effects of environmental conditions
acted in the same direction on reproductive success but had opposite
effects on survival among the three breeding states, especially for
windchill and Blue Mussel biomass. The contrasting state-dependent
effects of the environment on survival thus averaged out when examining
consequences for lifetime reproductive nest success (LRnS); instead,
LRnS was largely influenced by environmental conditions acting upon
reproduction. Our study indicates that an individual's previous breeding
state provides an integrative measure of heterogeneity in individuals'
sensitivity of reproduction and survival to environmental change.
Incorporating previous breeding state as a source of individual
heterogeneity in population modelling may improve predictions of future
population dynamics in a rapidly changing world.</t>
  </si>
  <si>
    <t>Weather and Nest Cavity Characteristics Influence Fecundity in Mountain Chickadees</t>
  </si>
  <si>
    <t>PeerJ</t>
  </si>
  <si>
    <t>Background. Examining direct and indirect effects on reproduction at multiple scales allows for a broad understanding of species' resilience to environmental change. We examine how the fecundity of the mountain chickadee (Poecile gambeli), a secondary cavity-nesting, insectivorous bird, varied in relation to factors at three scales: regional weather conditions, regional- and site-level food availability, site-level community dynamics, and nest-level cavity characteristics. We hypothesized that earlier laying dates and higher fecundity (clutch size, nest survival, brood size) would be associated with milder climatic conditions, increased food from insect outbreaks, lower densities of conspecifics and nest predators (red squirrel; Tamiasciurus hudsonicus), and safer (smaller, higher) cavities. Methods. We collected data on laying date, clutch size, brood size, nest fate (success/failure), and cavity characteristics from 513 mountain chickadee nests in tree cavities in temperate mixed coniferous-broadleaf forest in interior British Columbia, Canada, from 2000 to 2011. We surveyed annual abundances of mountain chickadees and squirrels using repeated point counts, and mountain pine beetle (Dendroctonus ponderosae) and lepidopteran defoliators by monitoring host trees and by using regional-scale aerial overview forest insect survey data. We used weather data (temperature, rain, snow) from a local Environment and Climate Change Canada weather station. We modeled laying date, clutch size, daily nest survival, and brood size as a function of predictors at regional-, site-, and nest-scales. Results and Conclusions. Measures of fecundity varied dramatically across years and spatial scales. At the regional (study-wide) scale, chickadees laid earlier and larger first clutches in warmer springs with minimal storms, and daily nest survival (DSR) increased with a 2-year lag in growing season temperature. Despite a doubling of mountain chickadee density that roughly accompanied the outbreaks of mountain pine beetle and lepidopteran defoliators, we found little evidence at the site scale that fecundity was influenced by insect availability, conspecific density, or predator density. At the nest scale, DSR and brood size increased with clutch size but DSR declined with nest cavity size indicating a positive reproductive effect of small-bodied cavity excavators. Double-brooding, rare in chickadees, occurred frequently in 2005 and 2007, coinciding with early breeding, high food availability from insect outbreaks, and warm spring temperatures with 0-1 spring storms. Our results support the idea that fecundity in secondary cavity-nesting species is impacted directly and indirectly by weather, and indirectly through changes in community dynamics (via cavity resource supply). We stress the importance of adopting holistic, community-level study frameworks to refine our understanding of fecundity in opportunistic and climate-sensitive species in future. Copyright © 2022 Norris et al.</t>
  </si>
  <si>
    <t>Driving Forces behind the Fluctuating Growth of the Number of Successful Nests in an Inland Population of White-Tailed Eagles in Hokkaido, Japan</t>
  </si>
  <si>
    <t>This study aimed to describe the change in the number of successful nests of the white-tailed eagle, Haliaeetus albicilla, for 25 years (1997–2021) along the Teshio River (100 km), Japan, which is a new habitat for this endangered species and identify factors driving the number of nests. The number of nests grew from two to nine. The logistic function fitted in well with the growth, and the capacity of the study area sustaining the successful nests was estimated at 6.5. The precipitation in January and April explained the deviation of the observed values from the model prediction. In particular, heavy rain in April was associated with low numbers. Forty-six nest remains were collected from 17 nest locations. Twelve genera of birds, six genera of mammals, and four genera of fishes were identified. Fish and bird items occupied 93.6% of prey individuals. The fish proportion was similar between high-performance years when the observed number of successful nests was higher than the model prediction and low-performance years with a lower number than the prediction (55.2% and 51.0%). However, it was higher in the nests with two fledglings (63.0%) than those with a single fledgling (41.5%). The nearest neighbor distance (NND) of the successful nests declined with the increase in the number of nests. Based on territory size (the mean NND = 7.8 km), the study area can hold 13 nests. The process and mechanism of the dynamics of the number of nests were discussed, focusing on territoriality and weather effects. © 2022 The Society of Population Ecology.</t>
  </si>
  <si>
    <t>Seasonal Weather Effects on Offspring Survival Differ between Reproductive Stages in a Long-Lived Neotropical Seabird</t>
  </si>
  <si>
    <t>Weather conditions can profoundly affect avian reproduction. It is known that weather conditions prior to and after the onset of reproduction can affect the breeding success of birds. However, little is known about how seasonal weather variability can affect birds’ breeding performance, particularly for species with a slow pace of life. Long-term studies are key to understanding how weather variability can affect a population's dynamics, especially when extreme weather events are expected to increase with climate change. Using a 32-year population study of the Blue-footed booby (Sula nebouxii) in Mexico, we show that seasonal variation in weather conditions, predominantly during the incubation stage, affects offspring survival and body condition at independence. During most of the incubation period, warm sea surface temperatures were correlated with low hatching success, while rainfall in the middle of the incubation stage was correlated with high fledging success. In addition, chicks from nests that experienced warm sea surface temperatures from the pre-laying stage to near-fledging had lower body condition at 70 days of age. Finally, we show that variable annual SST conditions before and during the incubation stage can impair breeding performance. Our results provide insight into how seasonal and interannual weather variation during key reproductive stages can affect hatching success, fledging success, and fledgling body condition in a long-lived neotropical seabird. © 2022, The Author(s), under exclusive licence to Springer-Verlag GmbH Germany, part of Springer Nature.</t>
  </si>
  <si>
    <t>Differing Drivers of Decline within a Migratory Metapopulation Has Implications for Future Conservation</t>
  </si>
  <si>
    <t>Researchers generally ascribe demographic drivers in a single sub-population and presume they are representative. With this information, practitioners implement blanket conservation measures across metapopulations to reverse declines. However, such approaches may not be appropriate in circumstances where sub-populations are spatiotemporally segregated and exposed to different environmental variation. The Greenland White-fronted Goose, Anser albifrons flavirostris, is an Arctic-nesting migrant that largely comprises two sub-populations (delineated by northerly and southerly breeding areas in west Greenland). The metapopulation has declined since 1999 but this trend is only mirrored in one sub-population and the causes of this disparity are unclear. Here we compare the drivers and trends of productivity in both sub-populations using population- and individual-level analysis. We examined how temperature and precipitation influenced population-level reproductive success over 37 years and whether there was a change in the relationship when metapopulation decline commenced. In addition, we used biologging devices to remotely classify incubation events for 86 bird-years and modelled how phenology and environmental conditions influenced individual-level nest survival. Correlations between reproductive success and temperature/precipitation on the breeding grounds have weakened for both sub-populations. This has resulted in lower reproductive success for the northerly, but not southerly breeding sub-population, which at the individual-level appears to be driven by lower nest survival. Earlier breeding ground arrival and less precipitation during incubation increased nest survival in the northerly breeding population, while no factors examined were important for the southerly breeding sub-population. This suggests reproductive success is driven by different factor(s) in the two sub-populations. Demographic rates and their environmental drivers differ between the sub-populations examined here and consequently we encourage further decomposition of demography within metapopulations. This is important for conservation practitioners to consider as bespoke conservation strategies, targeting different limiting factors, may be required for different sub-populations. © 2023 The Authors. Ecology and Evolution published by John Wiley &amp; Sons Ltd.</t>
  </si>
  <si>
    <t>Nest Survival and Cause-Specific Nest Mortality in the San Clemente Bell’s Sparrow</t>
  </si>
  <si>
    <t>Nest monitoring and the use of camera systems can provide researchers
with reproductive data integral to the successful management and
recovery of threatened and endangered avian species. From 2012 to 2019,
we used cameras to monitor 110 nests of the threatened San Clemente
Bell's Sparrow (Artemisiospiza belli clementeae) to identify nest
predators and evaluate threats to their recovery on San Clemente Island
(SCI). We evaluated the effects of winter precipitation, nest initiation
date, and nest substrate on nest survival rates. We also used cameras to
identify and estimate cause-specific mortality rates from native and
non-native nest predators. We did not observe significant impacts of
precipitation or nest initiation date on nest survival. Nests in
California boxthorn (Lycium californicum) had significantly lower
survival rates than nests in other substrates. The native San Clemente
Island fox (Urocyon littoralis clementae) was the most common nest
predator, followed by non-native black rats (Rattus rattus). Overall,
nests were much more likely to be predated by native than non-native
predators. This suggests that San Clemente Bell's Sparrows could achieve
recovery despite the presence of non-native predators. Our findings help
describe and quantify the breeding ecology of San Clemente Bell's
Sparrows, providing necessary information for data-driven management and
recovery efforts.</t>
  </si>
  <si>
    <t>Long-Term Monitoring Reveals the Impact of Changing Climate and Habitat on the Fitness of Cavity-Nesting Songbirds</t>
  </si>
  <si>
    <t>Long-term studies on the impacts of global change on reproduction are
rare, even though reproductive output can respond more quickly than
species' abundances or distributions. We explore the influences of
habitat use and weather on fitness, by using an 11-year dataset of 2305
nesting attempts (7174 nestlings) across four species of cavity-nesting
songbirds within California's Central Valley. Specifically, we modeled
relationships between habitat type, maximum nesting season temperature,
and winter/nesting season precipitation and nest site se-lection,
reproductive success, and nestling weight for each species. We found
that species selected nest sites based on species-specific habitat
variables and that reproductive success and nestling weight peaked in
selected habitats, suggesting an absence of ecological traps. Higher
maximum nesting season temperatures were nega-tively associated with
clutch size, reproductive success, and nestling weight for all species.
For example, models predicted that the probability of successfully
fledging tree swallows declined by 39 \% and tree swallow nestling
weight declined by 19 \% when nests experienced the hottest versus the
coolest maximum temperatures. In contrast, the effects of precipitation
on reproductive outcomes varied by species and timing. We observed
strong negative associations between nesting season precipitation and
reproductive success/nestling weight in tree swallows and western
bluebirds. Our findings suggest that, while habitat conversion to
orchards has not resulted in ecological traps, predicted increases in
temperature and spring precipitation may reduce the fitness of cavity
-nesting songbirds in California. More broadly, our results highlight
the importance of long-term monitoring when unravelling impacts of
global change on fitness.</t>
  </si>
  <si>
    <t>Reproductive Success of a Tropical Barn Swallow Hirundo Rustica Population Is Lower Than That in Temperate Regions</t>
  </si>
  <si>
    <t>Animals</t>
  </si>
  <si>
    <t>Temperate–tropical comparisons of avian life history traits are helpful to understand the different selective pressures placed on birds by different climate zones. Although there have been many comparative studies targeting multiple species in different regions, there are few comparative studies on the reproductive successes of the same species between tropical and temperate regions. In this study, we monitored the breeding activities of the Barn Swallow (Hirundo rustica) simultaneously at a single tropical site and a single temperate site in China, compared the breeding performances of the two populations, and investigated the effects of weather conditions on reproductive success separately. The clutch and brood sizes of the Barn Swallow at the topical site were significantly smaller than those at the temperate site. Furthermore, the breeding success of the Barn Swallow at the tropical site was significantly lower than that at the temperate site. The mean daytime temperature had a negative effect on the clutch size and brood size at both sites; it had a negative effect on nestling survival at the tropical site, but not the temperate site. This study will help us understand the adaptation strategies of widely distributed bird species in different environments, and how climate change will affect birds in different climate zones. © 2022 by the authors.</t>
  </si>
  <si>
    <t>mixed</t>
  </si>
  <si>
    <t>mean cumulative daily precipitation from first day of year through July</t>
  </si>
  <si>
    <t>rainfall does not affect nest success, as estimated by full incubation terms from geolocator data</t>
  </si>
  <si>
    <t>Black-bellied Plover</t>
  </si>
  <si>
    <t>2019-2021</t>
  </si>
  <si>
    <t>flooded fields and coastal areas</t>
  </si>
  <si>
    <t>Pluvialis</t>
  </si>
  <si>
    <t>squatarola</t>
  </si>
  <si>
    <t>Common Swift</t>
  </si>
  <si>
    <t>apus</t>
  </si>
  <si>
    <t>response to precipitation depended on when precip occurred throughout nesting period</t>
  </si>
  <si>
    <t>1975-2015</t>
  </si>
  <si>
    <t>generalist</t>
  </si>
  <si>
    <t>failure during egg-stage</t>
  </si>
  <si>
    <t>response to precipitation depended on when precip occurred throughout nesting period; rainfall during incubation period reduced survival during incubation period</t>
  </si>
  <si>
    <t>average rainfall during incubation period</t>
  </si>
  <si>
    <t>failure during chick-stage</t>
  </si>
  <si>
    <t>average rainfall during nestling stage</t>
  </si>
  <si>
    <t>average rainfall during pre-laying period</t>
  </si>
  <si>
    <t>deviation in the number of rainy days</t>
  </si>
  <si>
    <t>rainfall has greater negative effect on fledging success during a cold snap; nests that experience any rainfall are less likely to be successful</t>
  </si>
  <si>
    <t>total rainfall over 12 days post-hatching</t>
  </si>
  <si>
    <t>2006-2016</t>
  </si>
  <si>
    <t>1980-2000</t>
  </si>
  <si>
    <t>coniferous forest</t>
  </si>
  <si>
    <t>tested effects of temp and precip on multiple nest success parameters; reports correlations but no parameter estimates</t>
  </si>
  <si>
    <t>incubation success</t>
  </si>
  <si>
    <t>precipitation in June</t>
  </si>
  <si>
    <t>nestling mortality</t>
  </si>
  <si>
    <t>nest success (ratio of fledged chicks to eggs laid)</t>
  </si>
  <si>
    <t>precipitation during 10 days after median hatch date</t>
  </si>
  <si>
    <t>reported precip during nesting period as "nesting" instead of direct because variable is precipitation during 10 days after median hatch date, which means precip may not have occurred during nesting period for all nests</t>
  </si>
  <si>
    <t>productivity (number of fledged chicks per female)</t>
  </si>
  <si>
    <t>Booted Warbler</t>
  </si>
  <si>
    <t>Whinchat</t>
  </si>
  <si>
    <t>Iduna</t>
  </si>
  <si>
    <t>caligata</t>
  </si>
  <si>
    <t>Saxicola</t>
  </si>
  <si>
    <t>rubetra</t>
  </si>
  <si>
    <t>precipitation in May</t>
  </si>
  <si>
    <t>precipitation in may positvely influences daily nest survival</t>
  </si>
  <si>
    <t>2005-2019</t>
  </si>
  <si>
    <t>total precipitation (mm) during the nestling period</t>
  </si>
  <si>
    <t>nest success (whether or not nest successfully fledged at least one chick)</t>
  </si>
  <si>
    <t>2013-2022</t>
  </si>
  <si>
    <t>grassland/bog</t>
  </si>
  <si>
    <t>no effect of rainfall during nestling period on nest success, nest success more influenced by vegetation and temp</t>
  </si>
  <si>
    <t>paper primarily about transition and survival probabilities, but precip not in top model (based on AIC) to predict reproductive success</t>
  </si>
  <si>
    <t>reproductive success</t>
  </si>
  <si>
    <t>precipitation anomalies from during incubation</t>
  </si>
  <si>
    <t>Eurasian Oystercatcher</t>
  </si>
  <si>
    <t>Haematopus</t>
  </si>
  <si>
    <t>ostralegus</t>
  </si>
  <si>
    <t>Haematopodidae</t>
  </si>
  <si>
    <t>2002-2017</t>
  </si>
  <si>
    <t>precip not included in top model for reproductive success</t>
  </si>
  <si>
    <t>Mountain Chickadee</t>
  </si>
  <si>
    <t>2000-2011</t>
  </si>
  <si>
    <t>Poecile</t>
  </si>
  <si>
    <t>gambeli</t>
  </si>
  <si>
    <t>spring storms</t>
  </si>
  <si>
    <t>rainfall lagged 2 years</t>
  </si>
  <si>
    <t>White-tailed Eagle</t>
  </si>
  <si>
    <t>albicilla</t>
  </si>
  <si>
    <t>AvgClutchSize</t>
  </si>
  <si>
    <t>nest success related to precip in jan, feb, and april (birds can start nesting in jan)</t>
  </si>
  <si>
    <t>number of successful nests</t>
  </si>
  <si>
    <t>rainfall in January</t>
  </si>
  <si>
    <t>rainfall in February</t>
  </si>
  <si>
    <t>rainfall in April</t>
  </si>
  <si>
    <t>sample size is underestimate… paper only reports 83 successful nests, not total nests</t>
  </si>
  <si>
    <t>rainfall in second to fourth week of incubation</t>
  </si>
  <si>
    <t>mean number of chicks fledged per year</t>
  </si>
  <si>
    <t>median of posterior distribution</t>
  </si>
  <si>
    <t>1989-2019</t>
  </si>
  <si>
    <t>Sula</t>
  </si>
  <si>
    <t>nebouxii</t>
  </si>
  <si>
    <t>Sulidae</t>
  </si>
  <si>
    <t>used climate windows to assess inter- and intra-annual changes in hatching success, fledging success, and productivity</t>
  </si>
  <si>
    <t>Bell's Sparrow</t>
  </si>
  <si>
    <t>2012-2019</t>
  </si>
  <si>
    <t>mean of posterior distribution</t>
  </si>
  <si>
    <t>belli</t>
  </si>
  <si>
    <t>grasslands/shrublands</t>
  </si>
  <si>
    <t>nest survival not predicted by annual precip</t>
  </si>
  <si>
    <t>albifrons</t>
  </si>
  <si>
    <t>2017-2021</t>
  </si>
  <si>
    <t>rainfall during 4-day window during incubation</t>
  </si>
  <si>
    <t xml:space="preserve">no effects of precip on incubation success </t>
  </si>
  <si>
    <t>rainfall during arrival on breeding grounds</t>
  </si>
  <si>
    <t>paper split analyses by sub-population and precipitation timing; no effects of precip on nest success or incubation success for either sub-population except pos effect of nesting precip on Wexford sub-population nest FAILURE **, therefore coded as negative relationship</t>
  </si>
  <si>
    <t>Greater White-fronted Goose</t>
  </si>
  <si>
    <t>bird years</t>
  </si>
  <si>
    <t>analyses of Wexford sub-population</t>
  </si>
  <si>
    <t>analyses of Islay sub-population</t>
  </si>
  <si>
    <t>2004-2008, 2015-2020</t>
  </si>
  <si>
    <t>sum of precip throughout nesting period</t>
  </si>
  <si>
    <t>House Wren</t>
  </si>
  <si>
    <t>Troglodytes</t>
  </si>
  <si>
    <t>aedon</t>
  </si>
  <si>
    <t>sum of precip over winter (October 1 - March 1)</t>
  </si>
  <si>
    <t>Barn Swallow</t>
  </si>
  <si>
    <t>rustica</t>
  </si>
  <si>
    <t>2020-2021</t>
  </si>
  <si>
    <t>two sites: tropical (Zhanjiang, 2020-2021) and temperate (Panjin, 2019-2021)</t>
  </si>
  <si>
    <t>sum of rainfall during incubation period</t>
  </si>
  <si>
    <t>sum of rainfall during nestling period</t>
  </si>
  <si>
    <t>data are from large scale citizen science database; no study sites specified</t>
  </si>
  <si>
    <t>Florida Scrub-Jay</t>
  </si>
  <si>
    <t>Great Reed Warbler</t>
  </si>
  <si>
    <t>Greater Sage-Grouse</t>
  </si>
  <si>
    <t>Eurasian Hoopoe</t>
  </si>
  <si>
    <t>Red-capped Lark</t>
  </si>
  <si>
    <t>Eurasian Wryneck</t>
  </si>
  <si>
    <t>Conway et al.</t>
  </si>
  <si>
    <t>VanGelder and Smith</t>
  </si>
  <si>
    <t>Hendricks and Norment</t>
  </si>
  <si>
    <t>Sherry et al.</t>
  </si>
  <si>
    <t>Acquarone et al.</t>
  </si>
  <si>
    <t>Anctil et al.</t>
  </si>
  <si>
    <t>Aranzamendi et al.</t>
  </si>
  <si>
    <t>Aresu et al.</t>
  </si>
  <si>
    <t>Arlettaz et al.</t>
  </si>
  <si>
    <t>Artemyev</t>
  </si>
  <si>
    <t>Bacon et al.</t>
  </si>
  <si>
    <t>Bangerter et al.</t>
  </si>
  <si>
    <t>Baxter</t>
  </si>
  <si>
    <t>Beardsell et al.</t>
  </si>
  <si>
    <t>Beck et al.</t>
  </si>
  <si>
    <t>Bennetts et al.</t>
  </si>
  <si>
    <t>Blomberg et al.</t>
  </si>
  <si>
    <t>Bordjan et al.</t>
  </si>
  <si>
    <t>Borgman and Wolf</t>
  </si>
  <si>
    <t>Bosch et al.</t>
  </si>
  <si>
    <t>Boulton et al.</t>
  </si>
  <si>
    <t>Brussee et al.</t>
  </si>
  <si>
    <t>Burant et al.</t>
  </si>
  <si>
    <t>Camargos de Meireles et al.</t>
  </si>
  <si>
    <t>Capilla-Lasheras et al.</t>
  </si>
  <si>
    <t>Carroll et al.</t>
  </si>
  <si>
    <t>Carstens et al.</t>
  </si>
  <si>
    <t>Carter et al.</t>
  </si>
  <si>
    <t>Cartwright et al.</t>
  </si>
  <si>
    <t>Charter et al.</t>
  </si>
  <si>
    <t>Chmura et al.</t>
  </si>
  <si>
    <t>Clements et al.</t>
  </si>
  <si>
    <t>Collister et al.</t>
  </si>
  <si>
    <t>Covas et al.</t>
  </si>
  <si>
    <t>Cox et al.</t>
  </si>
  <si>
    <t>Crombie and Arcese</t>
  </si>
  <si>
    <t>Cruz-Mcdonnell and Wolf</t>
  </si>
  <si>
    <t>Cuadrado et al.</t>
  </si>
  <si>
    <t>Czeszczewik et al.</t>
  </si>
  <si>
    <t>D’Amelio et al.</t>
  </si>
  <si>
    <t>Davis et al.</t>
  </si>
  <si>
    <t>Decker and Conway</t>
  </si>
  <si>
    <t>Descamps et al.</t>
  </si>
  <si>
    <t>Dickey et al.</t>
  </si>
  <si>
    <t>Dinsmore et al.</t>
  </si>
  <si>
    <t>Donazar et al.</t>
  </si>
  <si>
    <t>Dreitz et al.</t>
  </si>
  <si>
    <t>Dyrcz and Halupka</t>
  </si>
  <si>
    <t>Eeva et al.</t>
  </si>
  <si>
    <t>Eggers et al.</t>
  </si>
  <si>
    <t>Ellis et al.</t>
  </si>
  <si>
    <t>Evans and Bouwman</t>
  </si>
  <si>
    <t>Fairhurst and Bechard</t>
  </si>
  <si>
    <t>Fields et al.</t>
  </si>
  <si>
    <t>Finch et al.</t>
  </si>
  <si>
    <t>Fisher et al.</t>
  </si>
  <si>
    <t>Fossoy et al.</t>
  </si>
  <si>
    <t>Fullerton et al.</t>
  </si>
  <si>
    <t>Garcia-del-Rey and Cresswell</t>
  </si>
  <si>
    <t>Garrett et al.</t>
  </si>
  <si>
    <t>Gaudet et al.</t>
  </si>
  <si>
    <t>Geaumont et al.</t>
  </si>
  <si>
    <t>Geiser et al.</t>
  </si>
  <si>
    <t>Gende et al.</t>
  </si>
  <si>
    <t>Gjerdrum et al.</t>
  </si>
  <si>
    <t>Glencross et al.</t>
  </si>
  <si>
    <t>Godwin et al.</t>
  </si>
  <si>
    <t>Golawski and Golawska</t>
  </si>
  <si>
    <t>Gopi Sundar.</t>
  </si>
  <si>
    <t>Grudinskaya et al.</t>
  </si>
  <si>
    <t>Guerena et al.</t>
  </si>
  <si>
    <t>Gunn et al.</t>
  </si>
  <si>
    <t>Hafner et al.</t>
  </si>
  <si>
    <t>Hallinger and Cristol</t>
  </si>
  <si>
    <t>Halliwell et al.</t>
  </si>
  <si>
    <t>Hansen et al.</t>
  </si>
  <si>
    <t>Hegg et al.</t>
  </si>
  <si>
    <t>Heinsohn</t>
  </si>
  <si>
    <t>Herring et al.</t>
  </si>
  <si>
    <t>Hilgartner et al.</t>
  </si>
  <si>
    <t>Holloran et al.</t>
  </si>
  <si>
    <t>Hood and Dinsmore</t>
  </si>
  <si>
    <t>Irsel et al.</t>
  </si>
  <si>
    <t>Jenkins</t>
  </si>
  <si>
    <t>Juhasz et al.</t>
  </si>
  <si>
    <t>Kosicki</t>
  </si>
  <si>
    <t>Kosinski and Ksit</t>
  </si>
  <si>
    <t>Kossenko and Kaygorodova</t>
  </si>
  <si>
    <t>Kreiderits et al.</t>
  </si>
  <si>
    <t>Lamarre et al.</t>
  </si>
  <si>
    <t>Lavoie et al.</t>
  </si>
  <si>
    <t>Leroux et al.</t>
  </si>
  <si>
    <t>Lindell</t>
  </si>
  <si>
    <t>Lombard et al.</t>
  </si>
  <si>
    <t>Londe et al.</t>
  </si>
  <si>
    <t>Marques-Santos and Dingemanse</t>
  </si>
  <si>
    <t>Marr et al.</t>
  </si>
  <si>
    <t>Martin et al.</t>
  </si>
  <si>
    <t>Mattsson and Cooper</t>
  </si>
  <si>
    <t>McGowan et al.</t>
  </si>
  <si>
    <t>Mearns and Newton</t>
  </si>
  <si>
    <t>Mérő and Žuljević</t>
  </si>
  <si>
    <t>Mérö et al.</t>
  </si>
  <si>
    <t>Miller et al.</t>
  </si>
  <si>
    <t>Milligan and McNew</t>
  </si>
  <si>
    <t>Monadjem and Bamford</t>
  </si>
  <si>
    <t>Morrison et al.</t>
  </si>
  <si>
    <t>Moser and Garton</t>
  </si>
  <si>
    <t>Mosquera et al.</t>
  </si>
  <si>
    <t>Moynahan et al.</t>
  </si>
  <si>
    <t>Murphy et al.</t>
  </si>
  <si>
    <t>Musgrave et al.</t>
  </si>
  <si>
    <t>Mwangi et al.</t>
  </si>
  <si>
    <t>Njiforti</t>
  </si>
  <si>
    <t>Norris et al.</t>
  </si>
  <si>
    <t>North and Steger</t>
  </si>
  <si>
    <t>Öberg et al.</t>
  </si>
  <si>
    <t>Ohtsubo et al.</t>
  </si>
  <si>
    <t>Olsen and Cunningham</t>
  </si>
  <si>
    <t>Onmuş et al.</t>
  </si>
  <si>
    <t>Oppel et al.</t>
  </si>
  <si>
    <t>Ortega et al.</t>
  </si>
  <si>
    <t>Ozsanlav-Harris et al.</t>
  </si>
  <si>
    <t>Parsons et al.</t>
  </si>
  <si>
    <t>Pasinelli</t>
  </si>
  <si>
    <t>Pavel et al.</t>
  </si>
  <si>
    <t>Peach et al.</t>
  </si>
  <si>
    <t>Penloup et al.</t>
  </si>
  <si>
    <t>Penteriani</t>
  </si>
  <si>
    <t>Pipoly et al.</t>
  </si>
  <si>
    <t>Pleasant et al.</t>
  </si>
  <si>
    <t>Polak and Kasprzykowski</t>
  </si>
  <si>
    <t>Porkert and Zajíc</t>
  </si>
  <si>
    <t>Porzig et al.</t>
  </si>
  <si>
    <t>Rader et al.</t>
  </si>
  <si>
    <t>Radford and Du Plessis</t>
  </si>
  <si>
    <t>Renner and Davis</t>
  </si>
  <si>
    <t>Renton and Salinas-Melgoza</t>
  </si>
  <si>
    <t>Reynolds</t>
  </si>
  <si>
    <t>Riggio et al.</t>
  </si>
  <si>
    <t>Roberts and Porter</t>
  </si>
  <si>
    <t>Roldán et al.</t>
  </si>
  <si>
    <t>Rose and Boughton</t>
  </si>
  <si>
    <t>Rotenberry and Wiens</t>
  </si>
  <si>
    <t>Rowley and Chapman</t>
  </si>
  <si>
    <t>Ruth and Skagen</t>
  </si>
  <si>
    <t>Schöll and Hille</t>
  </si>
  <si>
    <t>Schroeder et al.</t>
  </si>
  <si>
    <t>Sexson and Farley</t>
  </si>
  <si>
    <t>Shiao et al.</t>
  </si>
  <si>
    <t>Siikamaki</t>
  </si>
  <si>
    <t>Simojoki and Davies</t>
  </si>
  <si>
    <t>Skagen and Adams</t>
  </si>
  <si>
    <t>Slobodník et al.</t>
  </si>
  <si>
    <t>Smart et al.</t>
  </si>
  <si>
    <t>Smith et al.</t>
  </si>
  <si>
    <t>Sofaer et al.</t>
  </si>
  <si>
    <t>Sosnowski and Chmielewski</t>
  </si>
  <si>
    <t>Spalding et al.</t>
  </si>
  <si>
    <t>Stauffer et al.</t>
  </si>
  <si>
    <t>Steidl et al.</t>
  </si>
  <si>
    <t>Takagi</t>
  </si>
  <si>
    <t>Thomsen and Green</t>
  </si>
  <si>
    <t>Tian et al.</t>
  </si>
  <si>
    <t>Tyl et al.</t>
  </si>
  <si>
    <t>Uher‐Koch et al.</t>
  </si>
  <si>
    <t>Väli</t>
  </si>
  <si>
    <t>Vanderwerf et al.</t>
  </si>
  <si>
    <t>Veistola S et al.</t>
  </si>
  <si>
    <t>Velando et al.</t>
  </si>
  <si>
    <t>Webb et al.</t>
  </si>
  <si>
    <t>Wheelwright et al.</t>
  </si>
  <si>
    <t>Wiewel et al.</t>
  </si>
  <si>
    <t>Wilson and Hockey</t>
  </si>
  <si>
    <t>Wright et al.</t>
  </si>
  <si>
    <t>The influence of synchronous breeding, natal tree position and rainfall on egret nesting success</t>
  </si>
  <si>
    <t>Nesing Ecology OF Snail Kites In Water Conservation Area 3A</t>
  </si>
  <si>
    <t>Ecological determinants of annual fluctuations in numbers of breeding Little Egrets (Egretta Garzetta) in the Camargue, S France</t>
  </si>
  <si>
    <t>The influence of habitat on nest survival of Snowy and Wilson's Plovers in the Lower Lacuna Madre Region of Texas</t>
  </si>
  <si>
    <t>Factors Affecting Breeding Success of Peregrines in South Scotland</t>
  </si>
  <si>
    <t>Environmental factors affecting nest-site selection and breeding success of the White Stork (Ciconia ciconia) in Western Turkey</t>
  </si>
  <si>
    <t>Nest-site selection and nest survival of Northern Bobwhite in Southern Texas</t>
  </si>
  <si>
    <t>Nest survival and breeding biology of the Puerto Rican Bullfinch (Loxigilla portoricensis) in Southwestern Puerto Rico</t>
  </si>
  <si>
    <t>Variation in laying date and clutch size: the Everglades environment and the endangered Cape Sable Seaside Sparrow</t>
  </si>
  <si>
    <t>Blue-footed Booby</t>
  </si>
  <si>
    <t>coded as positive because negative relationship between productivity and lack of rain; effect size reported (-16.04, SE = 2.07) but not included in spreadsheet b/c should not be included in meta-analyses b/c opposite relationship with rain</t>
  </si>
  <si>
    <t>Western Cattle-Egret</t>
  </si>
  <si>
    <t>Middle Egret</t>
  </si>
  <si>
    <t>hirundinidae</t>
  </si>
  <si>
    <t>categorical response variables (ejected, predated, fully fledged) and climate windows</t>
  </si>
  <si>
    <t>one method says rainfall was calculated October-May, but table 1 says rainfall was Setpember-May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</si>
</sst>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rgb="FF000000"/>
      <name val="Calibri"/>
      <family val="2"/>
      <scheme val="minor"/>
    </font>
    <font>
      <sz val="11"/>
      <color rgb="FF3C4043"/>
      <name val="Calibri"/>
      <family val="2"/>
      <scheme val="minor"/>
    </font>
    <font>
      <sz val="8"/>
      <name val="Calibri"/>
      <family val="2"/>
      <scheme val="minor"/>
    </font>
    <font>
      <sz val="11"/>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theme="7"/>
        <bgColor indexed="64"/>
      </patternFill>
    </fill>
  </fills>
  <borders count="2">
    <border>
      <left/>
      <right/>
      <top/>
      <bottom/>
      <diagonal/>
    </border>
    <border>
      <left/>
      <right/>
      <top/>
      <bottom style="thin">
        <color indexed="64"/>
      </bottom>
      <diagonal/>
    </border>
  </borders>
  <cellStyleXfs count="1">
    <xf numFmtId="0" fontId="0" fillId="0" borderId="0"/>
  </cellStyleXfs>
  <cellXfs count="9">
    <xf numFmtId="0" fontId="0" fillId="0" borderId="0" xfId="0"/>
    <xf numFmtId="0" fontId="1" fillId="2" borderId="1" xfId="0" applyFont="1" applyFill="1" applyBorder="1"/>
    <xf numFmtId="0" fontId="1" fillId="0" borderId="1" xfId="0" applyFont="1" applyBorder="1"/>
    <xf numFmtId="0" fontId="0" fillId="3" borderId="0" xfId="0" applyFill="1"/>
    <xf numFmtId="0" fontId="2" fillId="0" borderId="0" xfId="0" applyFont="1" applyAlignment="1">
      <alignment horizontal="left" vertical="center" wrapText="1"/>
    </xf>
    <xf numFmtId="0" fontId="3" fillId="0" borderId="0" xfId="0" applyFont="1" applyAlignment="1">
      <alignment horizontal="left" vertical="center" wrapText="1"/>
    </xf>
    <xf numFmtId="0" fontId="0" fillId="0" borderId="0" xfId="0" applyAlignment="1">
      <alignment wrapText="1"/>
    </xf>
    <xf numFmtId="9" fontId="0" fillId="0" borderId="0" xfId="0" applyNumberFormat="1"/>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9C04D-EF4F-4516-893D-4E9E812117B6}">
  <dimension ref="A1:JQ297"/>
  <sheetViews>
    <sheetView tabSelected="1" zoomScale="80" zoomScaleNormal="80" workbookViewId="0">
      <pane ySplit="1" topLeftCell="A2" activePane="bottomLeft" state="frozen"/>
      <selection pane="bottomLeft" activeCell="C1" sqref="C1"/>
    </sheetView>
  </sheetViews>
  <sheetFormatPr defaultRowHeight="14.5" x14ac:dyDescent="0.35"/>
  <cols>
    <col min="2" max="2" width="24.7265625" customWidth="1"/>
    <col min="3" max="3" width="111.7265625" customWidth="1"/>
    <col min="4" max="4" width="17.36328125" customWidth="1"/>
    <col min="6" max="6" width="18.90625" customWidth="1"/>
    <col min="7" max="8" width="10.26953125" customWidth="1"/>
    <col min="9" max="9" width="10.54296875" customWidth="1"/>
    <col min="10" max="10" width="16.08984375" customWidth="1"/>
    <col min="11" max="14" width="11.90625" customWidth="1"/>
    <col min="19" max="20" width="21.453125" customWidth="1"/>
    <col min="22" max="22" width="9.36328125" bestFit="1" customWidth="1"/>
    <col min="23" max="23" width="11" bestFit="1" customWidth="1"/>
    <col min="25" max="25" width="11.6328125" customWidth="1"/>
    <col min="26" max="26" width="13.36328125" customWidth="1"/>
    <col min="27" max="28" width="16.26953125" customWidth="1"/>
    <col min="29" max="29" width="14.54296875" customWidth="1"/>
    <col min="30" max="30" width="30" customWidth="1"/>
    <col min="32" max="34" width="12.08984375" customWidth="1"/>
    <col min="35" max="35" width="14.6328125" customWidth="1"/>
    <col min="55" max="55" width="8.7265625" style="3"/>
  </cols>
  <sheetData>
    <row r="1" spans="1:277" s="1" customFormat="1" ht="15" customHeight="1" x14ac:dyDescent="0.35">
      <c r="A1" s="1" t="s">
        <v>1042</v>
      </c>
      <c r="B1" s="1" t="s">
        <v>11</v>
      </c>
      <c r="C1" s="1" t="s">
        <v>0</v>
      </c>
      <c r="D1" s="1" t="s">
        <v>12</v>
      </c>
      <c r="E1" s="1" t="s">
        <v>1</v>
      </c>
      <c r="F1" s="1" t="s">
        <v>10</v>
      </c>
      <c r="G1" s="1" t="s">
        <v>336</v>
      </c>
      <c r="H1" s="1" t="s">
        <v>1377</v>
      </c>
      <c r="I1" s="1" t="s">
        <v>337</v>
      </c>
      <c r="J1" s="1" t="s">
        <v>338</v>
      </c>
      <c r="K1" s="1" t="s">
        <v>708</v>
      </c>
      <c r="L1" s="1" t="s">
        <v>709</v>
      </c>
      <c r="M1" s="1" t="s">
        <v>340</v>
      </c>
      <c r="N1" s="1" t="s">
        <v>341</v>
      </c>
      <c r="O1" s="1" t="s">
        <v>2</v>
      </c>
      <c r="P1" s="1" t="s">
        <v>3</v>
      </c>
      <c r="Q1" s="1" t="s">
        <v>4</v>
      </c>
      <c r="R1" s="1" t="s">
        <v>5</v>
      </c>
      <c r="S1" s="1" t="s">
        <v>6</v>
      </c>
      <c r="T1" s="1" t="s">
        <v>1214</v>
      </c>
      <c r="U1" s="1" t="s">
        <v>7</v>
      </c>
      <c r="V1" s="1" t="s">
        <v>466</v>
      </c>
      <c r="W1" s="1" t="s">
        <v>467</v>
      </c>
      <c r="X1" s="1" t="s">
        <v>8</v>
      </c>
      <c r="Y1" s="1" t="s">
        <v>1218</v>
      </c>
      <c r="Z1" s="1" t="s">
        <v>9</v>
      </c>
      <c r="AA1" s="1" t="s">
        <v>1219</v>
      </c>
      <c r="AB1" s="1" t="s">
        <v>1220</v>
      </c>
      <c r="AC1" s="1" t="s">
        <v>1215</v>
      </c>
      <c r="AD1" s="1" t="s">
        <v>1221</v>
      </c>
      <c r="AE1" s="1" t="s">
        <v>1222</v>
      </c>
      <c r="AF1" s="1" t="s">
        <v>1223</v>
      </c>
      <c r="AG1" s="1" t="s">
        <v>1224</v>
      </c>
      <c r="AH1" s="1" t="s">
        <v>1216</v>
      </c>
      <c r="AI1" s="1" t="s">
        <v>1217</v>
      </c>
      <c r="AJ1" s="1" t="s">
        <v>1225</v>
      </c>
      <c r="AK1" s="1" t="s">
        <v>1226</v>
      </c>
      <c r="AL1" s="1" t="s">
        <v>1227</v>
      </c>
      <c r="AM1" s="1" t="s">
        <v>1228</v>
      </c>
      <c r="AN1" s="1" t="s">
        <v>1229</v>
      </c>
      <c r="AO1" s="1" t="s">
        <v>1230</v>
      </c>
      <c r="AP1" s="1" t="s">
        <v>1231</v>
      </c>
      <c r="AQ1" s="1" t="s">
        <v>1232</v>
      </c>
      <c r="AR1" s="1" t="s">
        <v>1233</v>
      </c>
      <c r="AS1" s="1" t="s">
        <v>1234</v>
      </c>
      <c r="AT1" s="1" t="s">
        <v>731</v>
      </c>
      <c r="AU1" s="1" t="s">
        <v>732</v>
      </c>
      <c r="AV1" s="1" t="s">
        <v>736</v>
      </c>
      <c r="AW1" s="1" t="s">
        <v>733</v>
      </c>
      <c r="AX1" s="1" t="s">
        <v>734</v>
      </c>
      <c r="AY1" s="1" t="s">
        <v>735</v>
      </c>
      <c r="AZ1" s="1" t="s">
        <v>737</v>
      </c>
      <c r="BA1" s="1" t="s">
        <v>738</v>
      </c>
      <c r="BB1" s="1" t="s">
        <v>739</v>
      </c>
      <c r="BC1" s="1" t="s">
        <v>1468</v>
      </c>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c r="GH1" s="2"/>
      <c r="GI1" s="2"/>
      <c r="GJ1" s="2"/>
      <c r="GK1" s="2"/>
      <c r="GL1" s="2"/>
      <c r="GM1" s="2"/>
      <c r="GN1" s="2"/>
      <c r="GO1" s="2"/>
      <c r="GP1" s="2"/>
      <c r="GQ1" s="2"/>
      <c r="GR1" s="2"/>
      <c r="GS1" s="2"/>
      <c r="GT1" s="2"/>
      <c r="GU1" s="2"/>
      <c r="GV1" s="2"/>
      <c r="GW1" s="2"/>
      <c r="GX1" s="2"/>
      <c r="GY1" s="2"/>
      <c r="GZ1" s="2"/>
      <c r="HA1" s="2"/>
      <c r="HB1" s="2"/>
      <c r="HC1" s="2"/>
      <c r="HD1" s="2"/>
      <c r="HE1" s="2"/>
      <c r="HF1" s="2"/>
      <c r="HG1" s="2"/>
      <c r="HH1" s="2"/>
      <c r="HI1" s="2"/>
      <c r="HJ1" s="2"/>
      <c r="HK1" s="2"/>
      <c r="HL1" s="2"/>
      <c r="HM1" s="2"/>
      <c r="HN1" s="2"/>
      <c r="HO1" s="2"/>
      <c r="HP1" s="2"/>
      <c r="HQ1" s="2"/>
      <c r="HR1" s="2"/>
      <c r="HS1" s="2"/>
      <c r="HT1" s="2"/>
      <c r="HU1" s="2"/>
      <c r="HV1" s="2"/>
      <c r="HW1" s="2"/>
      <c r="HX1" s="2"/>
      <c r="HY1" s="2"/>
      <c r="HZ1" s="2"/>
      <c r="IA1" s="2"/>
      <c r="IB1" s="2"/>
      <c r="IC1" s="2"/>
      <c r="ID1" s="2"/>
      <c r="IE1" s="2"/>
      <c r="IF1" s="2"/>
      <c r="IG1" s="2"/>
      <c r="IH1" s="2"/>
      <c r="II1" s="2"/>
      <c r="IJ1" s="2"/>
      <c r="IK1" s="2"/>
      <c r="IL1" s="2"/>
      <c r="IM1" s="2"/>
      <c r="IN1" s="2"/>
      <c r="IO1" s="2"/>
      <c r="IP1" s="2"/>
      <c r="IQ1" s="2"/>
      <c r="IR1" s="2"/>
      <c r="IS1" s="2"/>
      <c r="IT1" s="2"/>
      <c r="IU1" s="2"/>
      <c r="IV1" s="2"/>
      <c r="IW1" s="2"/>
      <c r="IX1" s="2"/>
      <c r="IY1" s="2"/>
      <c r="IZ1" s="2"/>
      <c r="JA1" s="2"/>
      <c r="JB1" s="2"/>
      <c r="JC1" s="2"/>
      <c r="JD1" s="2"/>
      <c r="JE1" s="2"/>
      <c r="JF1" s="2"/>
      <c r="JG1" s="2"/>
      <c r="JH1" s="2"/>
      <c r="JI1" s="2"/>
      <c r="JJ1" s="2"/>
      <c r="JK1" s="2"/>
      <c r="JL1" s="2"/>
      <c r="JM1" s="2"/>
      <c r="JN1" s="2"/>
      <c r="JO1" s="2"/>
      <c r="JP1" s="2"/>
      <c r="JQ1" s="2"/>
    </row>
    <row r="2" spans="1:277" ht="15" customHeight="1" x14ac:dyDescent="0.35">
      <c r="A2" t="s">
        <v>995</v>
      </c>
      <c r="B2" t="s">
        <v>1522</v>
      </c>
      <c r="C2" t="s">
        <v>13</v>
      </c>
      <c r="D2" t="s">
        <v>14</v>
      </c>
      <c r="E2">
        <v>2003</v>
      </c>
      <c r="F2" t="s">
        <v>15</v>
      </c>
      <c r="G2" t="s">
        <v>335</v>
      </c>
      <c r="H2" t="s">
        <v>335</v>
      </c>
      <c r="I2" t="s">
        <v>335</v>
      </c>
      <c r="J2" t="s">
        <v>339</v>
      </c>
      <c r="K2" t="s">
        <v>335</v>
      </c>
      <c r="L2" t="s">
        <v>335</v>
      </c>
      <c r="M2" t="s">
        <v>352</v>
      </c>
      <c r="N2" t="s">
        <v>335</v>
      </c>
      <c r="P2" t="s">
        <v>461</v>
      </c>
      <c r="Q2" t="s">
        <v>454</v>
      </c>
      <c r="R2" t="s">
        <v>455</v>
      </c>
      <c r="S2" t="s">
        <v>460</v>
      </c>
      <c r="T2" t="s">
        <v>1235</v>
      </c>
      <c r="U2" t="s">
        <v>506</v>
      </c>
      <c r="V2">
        <v>44.65</v>
      </c>
      <c r="W2">
        <v>9.0500000000000007</v>
      </c>
      <c r="X2">
        <v>500</v>
      </c>
      <c r="Y2" t="s">
        <v>456</v>
      </c>
      <c r="Z2" t="s">
        <v>458</v>
      </c>
      <c r="AA2" t="s">
        <v>1236</v>
      </c>
      <c r="AB2" t="s">
        <v>457</v>
      </c>
      <c r="AC2" t="s">
        <v>366</v>
      </c>
      <c r="AD2" t="s">
        <v>459</v>
      </c>
      <c r="AE2" t="s">
        <v>354</v>
      </c>
      <c r="AF2" t="s">
        <v>346</v>
      </c>
      <c r="AG2" t="s">
        <v>346</v>
      </c>
      <c r="AH2" t="s">
        <v>346</v>
      </c>
      <c r="AI2" t="s">
        <v>346</v>
      </c>
      <c r="AJ2" t="s">
        <v>346</v>
      </c>
      <c r="AK2">
        <v>70</v>
      </c>
      <c r="AL2" t="s">
        <v>377</v>
      </c>
      <c r="AM2" t="s">
        <v>339</v>
      </c>
      <c r="AN2" t="s">
        <v>410</v>
      </c>
      <c r="AO2" t="s">
        <v>367</v>
      </c>
      <c r="AP2" t="s">
        <v>386</v>
      </c>
      <c r="AQ2" t="s">
        <v>368</v>
      </c>
      <c r="AR2" t="s">
        <v>369</v>
      </c>
      <c r="AS2">
        <v>25</v>
      </c>
      <c r="AT2" t="s">
        <v>349</v>
      </c>
      <c r="AU2" t="s">
        <v>367</v>
      </c>
      <c r="AV2" t="s">
        <v>367</v>
      </c>
      <c r="AW2" t="s">
        <v>367</v>
      </c>
      <c r="AX2" t="s">
        <v>367</v>
      </c>
      <c r="AY2" t="s">
        <v>367</v>
      </c>
      <c r="AZ2" t="s">
        <v>367</v>
      </c>
      <c r="BA2" t="s">
        <v>367</v>
      </c>
      <c r="BB2" t="s">
        <v>367</v>
      </c>
      <c r="BC2">
        <v>3.5</v>
      </c>
    </row>
    <row r="3" spans="1:277" ht="15" customHeight="1" x14ac:dyDescent="0.35">
      <c r="A3" t="s">
        <v>995</v>
      </c>
      <c r="B3" t="s">
        <v>1523</v>
      </c>
      <c r="C3" t="s">
        <v>19</v>
      </c>
      <c r="D3" t="s">
        <v>20</v>
      </c>
      <c r="E3">
        <v>2014</v>
      </c>
      <c r="F3" t="s">
        <v>21</v>
      </c>
      <c r="G3" t="s">
        <v>335</v>
      </c>
      <c r="H3" t="s">
        <v>335</v>
      </c>
      <c r="I3" t="s">
        <v>335</v>
      </c>
      <c r="J3" t="s">
        <v>339</v>
      </c>
      <c r="K3" t="s">
        <v>335</v>
      </c>
      <c r="L3" t="s">
        <v>335</v>
      </c>
      <c r="M3" t="s">
        <v>352</v>
      </c>
      <c r="N3" t="s">
        <v>352</v>
      </c>
      <c r="P3" t="s">
        <v>357</v>
      </c>
      <c r="Q3" t="s">
        <v>358</v>
      </c>
      <c r="R3" t="s">
        <v>359</v>
      </c>
      <c r="S3" t="s">
        <v>360</v>
      </c>
      <c r="T3" t="s">
        <v>348</v>
      </c>
      <c r="U3" t="s">
        <v>361</v>
      </c>
      <c r="V3">
        <v>62.816667000000002</v>
      </c>
      <c r="W3">
        <v>-92.083332999999996</v>
      </c>
      <c r="X3">
        <v>32</v>
      </c>
      <c r="Y3" t="s">
        <v>362</v>
      </c>
      <c r="Z3" t="s">
        <v>1238</v>
      </c>
      <c r="AA3" t="s">
        <v>1236</v>
      </c>
      <c r="AB3" t="s">
        <v>363</v>
      </c>
      <c r="AC3" t="s">
        <v>366</v>
      </c>
      <c r="AD3" t="s">
        <v>1185</v>
      </c>
      <c r="AE3" t="s">
        <v>364</v>
      </c>
      <c r="AF3">
        <v>-0.03</v>
      </c>
      <c r="AG3">
        <v>0.02</v>
      </c>
      <c r="AH3" t="s">
        <v>346</v>
      </c>
      <c r="AI3" t="s">
        <v>346</v>
      </c>
      <c r="AJ3" t="s">
        <v>592</v>
      </c>
      <c r="AK3">
        <v>29</v>
      </c>
      <c r="AL3" t="s">
        <v>365</v>
      </c>
      <c r="AM3" t="s">
        <v>366</v>
      </c>
      <c r="AN3" t="s">
        <v>348</v>
      </c>
      <c r="AO3" t="s">
        <v>367</v>
      </c>
      <c r="AP3" t="s">
        <v>350</v>
      </c>
      <c r="AQ3" t="s">
        <v>368</v>
      </c>
      <c r="AR3" t="s">
        <v>369</v>
      </c>
      <c r="AS3">
        <v>1005</v>
      </c>
      <c r="AT3" t="s">
        <v>349</v>
      </c>
      <c r="AU3" t="s">
        <v>367</v>
      </c>
      <c r="AV3" t="s">
        <v>367</v>
      </c>
      <c r="AW3" t="s">
        <v>349</v>
      </c>
      <c r="AX3" t="s">
        <v>349</v>
      </c>
      <c r="AY3" t="s">
        <v>367</v>
      </c>
      <c r="AZ3" t="s">
        <v>349</v>
      </c>
      <c r="BA3" t="s">
        <v>349</v>
      </c>
      <c r="BB3" t="s">
        <v>367</v>
      </c>
      <c r="BC3">
        <v>3.5</v>
      </c>
    </row>
    <row r="4" spans="1:277" ht="15" customHeight="1" x14ac:dyDescent="0.35">
      <c r="A4" t="s">
        <v>995</v>
      </c>
      <c r="B4" t="s">
        <v>1524</v>
      </c>
      <c r="C4" t="s">
        <v>22</v>
      </c>
      <c r="D4" t="s">
        <v>23</v>
      </c>
      <c r="E4">
        <v>2019</v>
      </c>
      <c r="F4" t="s">
        <v>24</v>
      </c>
      <c r="G4" t="s">
        <v>335</v>
      </c>
      <c r="H4" t="s">
        <v>335</v>
      </c>
      <c r="I4" t="s">
        <v>335</v>
      </c>
      <c r="J4" t="s">
        <v>339</v>
      </c>
      <c r="K4" t="s">
        <v>335</v>
      </c>
      <c r="L4" t="s">
        <v>335</v>
      </c>
      <c r="M4" t="s">
        <v>352</v>
      </c>
      <c r="N4" t="s">
        <v>335</v>
      </c>
      <c r="P4" t="s">
        <v>1048</v>
      </c>
      <c r="Q4" t="s">
        <v>1045</v>
      </c>
      <c r="R4" t="s">
        <v>1046</v>
      </c>
      <c r="S4" t="s">
        <v>1044</v>
      </c>
      <c r="T4" t="s">
        <v>1235</v>
      </c>
      <c r="U4" t="s">
        <v>506</v>
      </c>
      <c r="V4">
        <v>-17.309999999999999</v>
      </c>
      <c r="W4">
        <v>126.6</v>
      </c>
      <c r="X4">
        <v>445</v>
      </c>
      <c r="Y4" t="s">
        <v>1047</v>
      </c>
      <c r="AA4" t="s">
        <v>1236</v>
      </c>
      <c r="AB4" t="s">
        <v>514</v>
      </c>
      <c r="AC4" t="s">
        <v>1237</v>
      </c>
      <c r="AD4" t="s">
        <v>1043</v>
      </c>
      <c r="AE4" t="s">
        <v>354</v>
      </c>
      <c r="AF4" t="s">
        <v>346</v>
      </c>
      <c r="AG4" t="s">
        <v>346</v>
      </c>
      <c r="AH4" t="s">
        <v>346</v>
      </c>
      <c r="AI4" t="s">
        <v>346</v>
      </c>
      <c r="AJ4" t="s">
        <v>339</v>
      </c>
      <c r="AK4">
        <v>441</v>
      </c>
      <c r="AL4" t="s">
        <v>377</v>
      </c>
      <c r="AM4" t="s">
        <v>339</v>
      </c>
      <c r="AN4" t="s">
        <v>348</v>
      </c>
      <c r="AO4" t="s">
        <v>367</v>
      </c>
      <c r="AP4" t="s">
        <v>386</v>
      </c>
      <c r="AQ4" t="s">
        <v>368</v>
      </c>
      <c r="AR4" t="s">
        <v>535</v>
      </c>
      <c r="AS4">
        <v>11</v>
      </c>
      <c r="AT4" t="s">
        <v>349</v>
      </c>
      <c r="AU4" t="s">
        <v>367</v>
      </c>
      <c r="AV4" t="s">
        <v>367</v>
      </c>
      <c r="AW4" t="s">
        <v>367</v>
      </c>
      <c r="AX4" t="s">
        <v>367</v>
      </c>
      <c r="AY4" t="s">
        <v>367</v>
      </c>
      <c r="AZ4" t="s">
        <v>367</v>
      </c>
      <c r="BA4" t="s">
        <v>367</v>
      </c>
      <c r="BB4" t="s">
        <v>367</v>
      </c>
      <c r="BC4">
        <v>2.5</v>
      </c>
    </row>
    <row r="5" spans="1:277" ht="15" customHeight="1" x14ac:dyDescent="0.35">
      <c r="A5" t="s">
        <v>1065</v>
      </c>
      <c r="B5" t="s">
        <v>1525</v>
      </c>
      <c r="C5" t="s">
        <v>1077</v>
      </c>
      <c r="D5" t="s">
        <v>34</v>
      </c>
      <c r="E5">
        <v>2022</v>
      </c>
      <c r="F5" t="s">
        <v>1078</v>
      </c>
      <c r="G5" t="s">
        <v>335</v>
      </c>
      <c r="H5" t="s">
        <v>335</v>
      </c>
      <c r="I5" t="s">
        <v>335</v>
      </c>
      <c r="J5" t="s">
        <v>339</v>
      </c>
      <c r="K5" t="s">
        <v>335</v>
      </c>
      <c r="L5" t="s">
        <v>335</v>
      </c>
      <c r="M5" t="s">
        <v>352</v>
      </c>
      <c r="N5" t="s">
        <v>335</v>
      </c>
      <c r="P5" t="s">
        <v>387</v>
      </c>
      <c r="Q5" t="s">
        <v>1120</v>
      </c>
      <c r="R5" t="s">
        <v>1121</v>
      </c>
      <c r="S5" t="s">
        <v>1119</v>
      </c>
      <c r="T5" t="s">
        <v>1235</v>
      </c>
      <c r="U5" t="s">
        <v>1239</v>
      </c>
      <c r="V5">
        <v>40.351308000000003</v>
      </c>
      <c r="W5">
        <v>8.4014319999999998</v>
      </c>
      <c r="X5">
        <v>167</v>
      </c>
      <c r="Y5" t="s">
        <v>1118</v>
      </c>
      <c r="Z5" t="s">
        <v>1240</v>
      </c>
      <c r="AA5" t="s">
        <v>1236</v>
      </c>
      <c r="AB5" t="s">
        <v>457</v>
      </c>
      <c r="AC5" t="s">
        <v>1241</v>
      </c>
      <c r="AD5" t="s">
        <v>1242</v>
      </c>
      <c r="AE5" t="s">
        <v>364</v>
      </c>
      <c r="AF5" t="s">
        <v>346</v>
      </c>
      <c r="AG5" t="s">
        <v>346</v>
      </c>
      <c r="AH5" t="s">
        <v>346</v>
      </c>
      <c r="AI5" t="s">
        <v>346</v>
      </c>
      <c r="AJ5" t="s">
        <v>339</v>
      </c>
      <c r="AK5">
        <v>992</v>
      </c>
      <c r="AL5" t="s">
        <v>527</v>
      </c>
      <c r="AM5" t="s">
        <v>347</v>
      </c>
      <c r="AN5" t="s">
        <v>348</v>
      </c>
      <c r="AO5" t="s">
        <v>367</v>
      </c>
      <c r="AP5" t="s">
        <v>350</v>
      </c>
      <c r="AQ5" t="s">
        <v>368</v>
      </c>
      <c r="AR5" t="s">
        <v>369</v>
      </c>
      <c r="AS5">
        <v>8700</v>
      </c>
      <c r="AT5" t="s">
        <v>367</v>
      </c>
      <c r="AU5" t="s">
        <v>367</v>
      </c>
      <c r="AV5" t="s">
        <v>367</v>
      </c>
      <c r="AW5" t="s">
        <v>367</v>
      </c>
      <c r="AX5" t="s">
        <v>367</v>
      </c>
      <c r="AY5" t="s">
        <v>367</v>
      </c>
      <c r="AZ5" t="s">
        <v>367</v>
      </c>
      <c r="BA5" t="s">
        <v>367</v>
      </c>
      <c r="BB5" t="s">
        <v>349</v>
      </c>
      <c r="BC5">
        <v>1</v>
      </c>
    </row>
    <row r="6" spans="1:277" ht="15" customHeight="1" x14ac:dyDescent="0.35">
      <c r="A6" t="s">
        <v>1065</v>
      </c>
      <c r="B6" t="s">
        <v>1526</v>
      </c>
      <c r="C6" t="s">
        <v>1079</v>
      </c>
      <c r="D6" t="s">
        <v>42</v>
      </c>
      <c r="E6">
        <v>2010</v>
      </c>
      <c r="G6" t="s">
        <v>335</v>
      </c>
      <c r="H6" t="s">
        <v>335</v>
      </c>
      <c r="I6" t="s">
        <v>335</v>
      </c>
      <c r="J6" t="s">
        <v>339</v>
      </c>
      <c r="K6" t="s">
        <v>335</v>
      </c>
      <c r="L6" t="s">
        <v>335</v>
      </c>
      <c r="M6" t="s">
        <v>352</v>
      </c>
      <c r="N6" t="s">
        <v>352</v>
      </c>
      <c r="P6" t="s">
        <v>1123</v>
      </c>
      <c r="Q6" t="s">
        <v>1243</v>
      </c>
      <c r="R6" t="s">
        <v>1124</v>
      </c>
      <c r="S6" t="s">
        <v>1515</v>
      </c>
      <c r="T6" t="s">
        <v>348</v>
      </c>
      <c r="U6" t="s">
        <v>905</v>
      </c>
      <c r="V6">
        <v>46.2</v>
      </c>
      <c r="W6">
        <v>7.4</v>
      </c>
      <c r="X6">
        <v>490</v>
      </c>
      <c r="Y6" t="s">
        <v>1122</v>
      </c>
      <c r="AA6" t="s">
        <v>393</v>
      </c>
      <c r="AB6" t="s">
        <v>393</v>
      </c>
      <c r="AC6" t="s">
        <v>366</v>
      </c>
      <c r="AD6" t="s">
        <v>1245</v>
      </c>
      <c r="AE6" t="s">
        <v>364</v>
      </c>
      <c r="AF6">
        <v>-0.05</v>
      </c>
      <c r="AG6">
        <v>2.1000000000000001E-2</v>
      </c>
      <c r="AH6" t="s">
        <v>346</v>
      </c>
      <c r="AI6" t="s">
        <v>346</v>
      </c>
      <c r="AJ6" t="s">
        <v>592</v>
      </c>
      <c r="AK6">
        <v>26</v>
      </c>
      <c r="AL6" t="s">
        <v>528</v>
      </c>
      <c r="AM6" t="s">
        <v>452</v>
      </c>
      <c r="AN6" t="s">
        <v>410</v>
      </c>
      <c r="AO6" t="s">
        <v>367</v>
      </c>
      <c r="AP6" t="s">
        <v>411</v>
      </c>
      <c r="AQ6" t="s">
        <v>368</v>
      </c>
      <c r="AR6" t="s">
        <v>369</v>
      </c>
      <c r="AS6">
        <v>68</v>
      </c>
      <c r="AT6" t="s">
        <v>349</v>
      </c>
      <c r="AU6" t="s">
        <v>367</v>
      </c>
      <c r="AV6" t="s">
        <v>367</v>
      </c>
      <c r="AW6" t="s">
        <v>367</v>
      </c>
      <c r="AX6" t="s">
        <v>367</v>
      </c>
      <c r="AY6" t="s">
        <v>367</v>
      </c>
      <c r="AZ6" t="s">
        <v>367</v>
      </c>
      <c r="BA6" t="s">
        <v>367</v>
      </c>
      <c r="BB6" t="s">
        <v>367</v>
      </c>
      <c r="BC6">
        <v>5</v>
      </c>
    </row>
    <row r="7" spans="1:277" ht="15" customHeight="1" x14ac:dyDescent="0.35">
      <c r="A7" t="s">
        <v>1065</v>
      </c>
      <c r="B7" t="s">
        <v>1526</v>
      </c>
      <c r="C7" t="s">
        <v>1079</v>
      </c>
      <c r="D7" t="s">
        <v>42</v>
      </c>
      <c r="E7">
        <v>2010</v>
      </c>
      <c r="G7" t="s">
        <v>335</v>
      </c>
      <c r="H7" t="s">
        <v>335</v>
      </c>
      <c r="I7" t="s">
        <v>335</v>
      </c>
      <c r="J7" t="s">
        <v>339</v>
      </c>
      <c r="K7" t="s">
        <v>335</v>
      </c>
      <c r="L7" t="s">
        <v>335</v>
      </c>
      <c r="M7" t="s">
        <v>352</v>
      </c>
      <c r="N7" t="s">
        <v>352</v>
      </c>
      <c r="P7" t="s">
        <v>1123</v>
      </c>
      <c r="Q7" t="s">
        <v>1243</v>
      </c>
      <c r="R7" t="s">
        <v>1124</v>
      </c>
      <c r="S7" t="s">
        <v>1515</v>
      </c>
      <c r="T7" t="s">
        <v>348</v>
      </c>
      <c r="U7" t="s">
        <v>905</v>
      </c>
      <c r="V7">
        <v>46.2</v>
      </c>
      <c r="W7">
        <v>7.4</v>
      </c>
      <c r="X7">
        <v>490</v>
      </c>
      <c r="Y7" t="s">
        <v>1122</v>
      </c>
      <c r="AA7" t="s">
        <v>393</v>
      </c>
      <c r="AB7" t="s">
        <v>393</v>
      </c>
      <c r="AC7" t="s">
        <v>366</v>
      </c>
      <c r="AD7" t="s">
        <v>1244</v>
      </c>
      <c r="AE7" t="s">
        <v>364</v>
      </c>
      <c r="AF7">
        <v>-7.9000000000000001E-2</v>
      </c>
      <c r="AG7">
        <v>2.1999999999999999E-2</v>
      </c>
      <c r="AH7" t="s">
        <v>346</v>
      </c>
      <c r="AI7" t="s">
        <v>346</v>
      </c>
      <c r="AJ7" t="s">
        <v>592</v>
      </c>
      <c r="AK7">
        <v>26</v>
      </c>
      <c r="AL7" t="s">
        <v>528</v>
      </c>
      <c r="AM7" t="s">
        <v>452</v>
      </c>
      <c r="AN7" t="s">
        <v>410</v>
      </c>
      <c r="AO7" t="s">
        <v>367</v>
      </c>
      <c r="AP7" t="s">
        <v>411</v>
      </c>
      <c r="AQ7" t="s">
        <v>368</v>
      </c>
      <c r="AR7" t="s">
        <v>369</v>
      </c>
      <c r="AS7">
        <v>68</v>
      </c>
      <c r="AT7" t="s">
        <v>349</v>
      </c>
      <c r="AU7" t="s">
        <v>367</v>
      </c>
      <c r="AV7" t="s">
        <v>367</v>
      </c>
      <c r="AW7" t="s">
        <v>367</v>
      </c>
      <c r="AX7" t="s">
        <v>367</v>
      </c>
      <c r="AY7" t="s">
        <v>367</v>
      </c>
      <c r="AZ7" t="s">
        <v>367</v>
      </c>
      <c r="BA7" t="s">
        <v>367</v>
      </c>
      <c r="BB7" t="s">
        <v>367</v>
      </c>
      <c r="BC7">
        <v>5</v>
      </c>
    </row>
    <row r="8" spans="1:277" ht="15" customHeight="1" x14ac:dyDescent="0.35">
      <c r="A8" t="s">
        <v>995</v>
      </c>
      <c r="B8" t="s">
        <v>1527</v>
      </c>
      <c r="C8" t="s">
        <v>25</v>
      </c>
      <c r="D8" t="s">
        <v>26</v>
      </c>
      <c r="E8">
        <v>2002</v>
      </c>
      <c r="F8" t="s">
        <v>27</v>
      </c>
      <c r="G8" t="s">
        <v>335</v>
      </c>
      <c r="H8" t="s">
        <v>335</v>
      </c>
      <c r="I8" t="s">
        <v>335</v>
      </c>
      <c r="J8" t="s">
        <v>339</v>
      </c>
      <c r="K8" t="s">
        <v>335</v>
      </c>
      <c r="L8" t="s">
        <v>352</v>
      </c>
      <c r="M8" t="s">
        <v>352</v>
      </c>
      <c r="N8" t="s">
        <v>335</v>
      </c>
      <c r="O8" t="s">
        <v>1429</v>
      </c>
      <c r="P8" t="s">
        <v>836</v>
      </c>
      <c r="Q8" t="s">
        <v>584</v>
      </c>
      <c r="R8" t="s">
        <v>596</v>
      </c>
      <c r="S8" t="s">
        <v>597</v>
      </c>
      <c r="T8" t="s">
        <v>1235</v>
      </c>
      <c r="U8" t="s">
        <v>1428</v>
      </c>
      <c r="V8">
        <v>60.46</v>
      </c>
      <c r="W8">
        <v>32.479999999999997</v>
      </c>
      <c r="X8">
        <v>20</v>
      </c>
      <c r="Y8" t="s">
        <v>1427</v>
      </c>
      <c r="AA8" t="s">
        <v>1236</v>
      </c>
      <c r="AB8" t="s">
        <v>1430</v>
      </c>
      <c r="AC8" t="s">
        <v>1237</v>
      </c>
      <c r="AD8" t="s">
        <v>1431</v>
      </c>
      <c r="AE8" t="s">
        <v>364</v>
      </c>
      <c r="AF8" t="s">
        <v>346</v>
      </c>
      <c r="AG8" t="s">
        <v>346</v>
      </c>
      <c r="AH8" t="s">
        <v>346</v>
      </c>
      <c r="AI8" t="s">
        <v>346</v>
      </c>
      <c r="AJ8" t="s">
        <v>346</v>
      </c>
      <c r="AK8" t="s">
        <v>346</v>
      </c>
      <c r="AL8" t="s">
        <v>346</v>
      </c>
      <c r="AM8" t="s">
        <v>347</v>
      </c>
      <c r="AN8" t="s">
        <v>410</v>
      </c>
      <c r="AO8" t="s">
        <v>367</v>
      </c>
      <c r="AP8" t="s">
        <v>411</v>
      </c>
      <c r="AQ8" t="s">
        <v>368</v>
      </c>
      <c r="AR8" t="s">
        <v>369</v>
      </c>
      <c r="AS8">
        <v>16</v>
      </c>
      <c r="AT8" t="s">
        <v>349</v>
      </c>
      <c r="AU8" t="s">
        <v>349</v>
      </c>
      <c r="AV8" t="s">
        <v>367</v>
      </c>
      <c r="AW8" t="s">
        <v>367</v>
      </c>
      <c r="AX8" t="s">
        <v>367</v>
      </c>
      <c r="AY8" t="s">
        <v>367</v>
      </c>
      <c r="AZ8" t="s">
        <v>367</v>
      </c>
      <c r="BA8" t="s">
        <v>367</v>
      </c>
      <c r="BB8" t="s">
        <v>367</v>
      </c>
      <c r="BC8">
        <v>6</v>
      </c>
    </row>
    <row r="9" spans="1:277" ht="15" customHeight="1" x14ac:dyDescent="0.35">
      <c r="A9" t="s">
        <v>995</v>
      </c>
      <c r="B9" t="s">
        <v>1527</v>
      </c>
      <c r="C9" t="s">
        <v>25</v>
      </c>
      <c r="D9" t="s">
        <v>26</v>
      </c>
      <c r="E9">
        <v>2002</v>
      </c>
      <c r="F9" t="s">
        <v>27</v>
      </c>
      <c r="G9" t="s">
        <v>335</v>
      </c>
      <c r="H9" t="s">
        <v>335</v>
      </c>
      <c r="I9" t="s">
        <v>335</v>
      </c>
      <c r="J9" t="s">
        <v>339</v>
      </c>
      <c r="K9" t="s">
        <v>335</v>
      </c>
      <c r="L9" t="s">
        <v>352</v>
      </c>
      <c r="M9" t="s">
        <v>352</v>
      </c>
      <c r="N9" t="s">
        <v>335</v>
      </c>
      <c r="O9" t="s">
        <v>1429</v>
      </c>
      <c r="P9" t="s">
        <v>836</v>
      </c>
      <c r="Q9" t="s">
        <v>584</v>
      </c>
      <c r="R9" t="s">
        <v>596</v>
      </c>
      <c r="S9" t="s">
        <v>597</v>
      </c>
      <c r="T9" t="s">
        <v>1235</v>
      </c>
      <c r="U9" t="s">
        <v>1428</v>
      </c>
      <c r="V9">
        <v>60.46</v>
      </c>
      <c r="W9">
        <v>32.479999999999997</v>
      </c>
      <c r="X9">
        <v>20</v>
      </c>
      <c r="Y9" t="s">
        <v>1427</v>
      </c>
      <c r="AA9" t="s">
        <v>1236</v>
      </c>
      <c r="AB9" t="s">
        <v>1433</v>
      </c>
      <c r="AC9" t="s">
        <v>1237</v>
      </c>
      <c r="AD9" t="s">
        <v>1431</v>
      </c>
      <c r="AE9" t="s">
        <v>354</v>
      </c>
      <c r="AF9" t="s">
        <v>346</v>
      </c>
      <c r="AG9" t="s">
        <v>346</v>
      </c>
      <c r="AH9" t="s">
        <v>346</v>
      </c>
      <c r="AI9" t="s">
        <v>346</v>
      </c>
      <c r="AJ9" t="s">
        <v>346</v>
      </c>
      <c r="AK9" t="s">
        <v>346</v>
      </c>
      <c r="AL9" t="s">
        <v>346</v>
      </c>
      <c r="AM9" t="s">
        <v>347</v>
      </c>
      <c r="AN9" t="s">
        <v>410</v>
      </c>
      <c r="AO9" t="s">
        <v>367</v>
      </c>
      <c r="AP9" t="s">
        <v>411</v>
      </c>
      <c r="AQ9" t="s">
        <v>368</v>
      </c>
      <c r="AR9" t="s">
        <v>369</v>
      </c>
      <c r="AS9">
        <v>16</v>
      </c>
      <c r="AT9" t="s">
        <v>349</v>
      </c>
      <c r="AU9" t="s">
        <v>349</v>
      </c>
      <c r="AV9" t="s">
        <v>367</v>
      </c>
      <c r="AW9" t="s">
        <v>367</v>
      </c>
      <c r="AX9" t="s">
        <v>367</v>
      </c>
      <c r="AY9" t="s">
        <v>367</v>
      </c>
      <c r="AZ9" t="s">
        <v>367</v>
      </c>
      <c r="BA9" t="s">
        <v>367</v>
      </c>
      <c r="BB9" t="s">
        <v>367</v>
      </c>
      <c r="BC9">
        <v>6</v>
      </c>
    </row>
    <row r="10" spans="1:277" ht="15" customHeight="1" x14ac:dyDescent="0.35">
      <c r="A10" t="s">
        <v>995</v>
      </c>
      <c r="B10" t="s">
        <v>1527</v>
      </c>
      <c r="C10" t="s">
        <v>25</v>
      </c>
      <c r="D10" t="s">
        <v>26</v>
      </c>
      <c r="E10">
        <v>2002</v>
      </c>
      <c r="F10" t="s">
        <v>27</v>
      </c>
      <c r="G10" t="s">
        <v>335</v>
      </c>
      <c r="H10" t="s">
        <v>335</v>
      </c>
      <c r="I10" t="s">
        <v>335</v>
      </c>
      <c r="J10" t="s">
        <v>339</v>
      </c>
      <c r="K10" t="s">
        <v>335</v>
      </c>
      <c r="L10" t="s">
        <v>352</v>
      </c>
      <c r="M10" t="s">
        <v>352</v>
      </c>
      <c r="N10" t="s">
        <v>335</v>
      </c>
      <c r="O10" t="s">
        <v>1429</v>
      </c>
      <c r="P10" t="s">
        <v>836</v>
      </c>
      <c r="Q10" t="s">
        <v>584</v>
      </c>
      <c r="R10" t="s">
        <v>596</v>
      </c>
      <c r="S10" t="s">
        <v>597</v>
      </c>
      <c r="T10" t="s">
        <v>1235</v>
      </c>
      <c r="U10" t="s">
        <v>1428</v>
      </c>
      <c r="V10">
        <v>60.46</v>
      </c>
      <c r="W10">
        <v>32.479999999999997</v>
      </c>
      <c r="X10">
        <v>20</v>
      </c>
      <c r="Y10" t="s">
        <v>1427</v>
      </c>
      <c r="AA10" t="s">
        <v>1236</v>
      </c>
      <c r="AB10" t="s">
        <v>1432</v>
      </c>
      <c r="AC10" t="s">
        <v>1237</v>
      </c>
      <c r="AD10" t="s">
        <v>1431</v>
      </c>
      <c r="AE10" t="s">
        <v>354</v>
      </c>
      <c r="AF10" t="s">
        <v>346</v>
      </c>
      <c r="AG10" t="s">
        <v>346</v>
      </c>
      <c r="AH10" t="s">
        <v>346</v>
      </c>
      <c r="AI10" t="s">
        <v>346</v>
      </c>
      <c r="AJ10" t="s">
        <v>346</v>
      </c>
      <c r="AK10" t="s">
        <v>346</v>
      </c>
      <c r="AL10" t="s">
        <v>346</v>
      </c>
      <c r="AM10" t="s">
        <v>347</v>
      </c>
      <c r="AN10" t="s">
        <v>410</v>
      </c>
      <c r="AO10" t="s">
        <v>367</v>
      </c>
      <c r="AP10" t="s">
        <v>411</v>
      </c>
      <c r="AQ10" t="s">
        <v>368</v>
      </c>
      <c r="AR10" t="s">
        <v>369</v>
      </c>
      <c r="AS10">
        <v>16</v>
      </c>
      <c r="AT10" t="s">
        <v>349</v>
      </c>
      <c r="AU10" t="s">
        <v>349</v>
      </c>
      <c r="AV10" t="s">
        <v>367</v>
      </c>
      <c r="AW10" t="s">
        <v>367</v>
      </c>
      <c r="AX10" t="s">
        <v>367</v>
      </c>
      <c r="AY10" t="s">
        <v>367</v>
      </c>
      <c r="AZ10" t="s">
        <v>367</v>
      </c>
      <c r="BA10" t="s">
        <v>367</v>
      </c>
      <c r="BB10" t="s">
        <v>367</v>
      </c>
      <c r="BC10">
        <v>6</v>
      </c>
    </row>
    <row r="11" spans="1:277" ht="15" customHeight="1" x14ac:dyDescent="0.35">
      <c r="A11" t="s">
        <v>995</v>
      </c>
      <c r="B11" t="s">
        <v>1527</v>
      </c>
      <c r="C11" t="s">
        <v>25</v>
      </c>
      <c r="D11" t="s">
        <v>26</v>
      </c>
      <c r="E11">
        <v>2002</v>
      </c>
      <c r="F11" t="s">
        <v>27</v>
      </c>
      <c r="G11" t="s">
        <v>335</v>
      </c>
      <c r="H11" t="s">
        <v>335</v>
      </c>
      <c r="I11" t="s">
        <v>335</v>
      </c>
      <c r="J11" t="s">
        <v>339</v>
      </c>
      <c r="K11" t="s">
        <v>335</v>
      </c>
      <c r="L11" t="s">
        <v>352</v>
      </c>
      <c r="M11" t="s">
        <v>352</v>
      </c>
      <c r="N11" t="s">
        <v>335</v>
      </c>
      <c r="O11" t="s">
        <v>1429</v>
      </c>
      <c r="P11" t="s">
        <v>836</v>
      </c>
      <c r="Q11" t="s">
        <v>584</v>
      </c>
      <c r="R11" t="s">
        <v>596</v>
      </c>
      <c r="S11" t="s">
        <v>597</v>
      </c>
      <c r="T11" t="s">
        <v>1235</v>
      </c>
      <c r="U11" t="s">
        <v>1428</v>
      </c>
      <c r="V11">
        <v>60.46</v>
      </c>
      <c r="W11">
        <v>32.479999999999997</v>
      </c>
      <c r="X11">
        <v>20</v>
      </c>
      <c r="Y11" t="s">
        <v>1427</v>
      </c>
      <c r="Z11" t="s">
        <v>1435</v>
      </c>
      <c r="AA11" t="s">
        <v>1236</v>
      </c>
      <c r="AB11" t="s">
        <v>1433</v>
      </c>
      <c r="AC11" t="s">
        <v>1237</v>
      </c>
      <c r="AD11" t="s">
        <v>1434</v>
      </c>
      <c r="AE11" t="s">
        <v>345</v>
      </c>
      <c r="AF11" t="s">
        <v>346</v>
      </c>
      <c r="AG11" t="s">
        <v>346</v>
      </c>
      <c r="AH11" t="s">
        <v>346</v>
      </c>
      <c r="AI11" t="s">
        <v>346</v>
      </c>
      <c r="AJ11" t="s">
        <v>346</v>
      </c>
      <c r="AK11" t="s">
        <v>346</v>
      </c>
      <c r="AL11" t="s">
        <v>346</v>
      </c>
      <c r="AM11" t="s">
        <v>347</v>
      </c>
      <c r="AN11" t="s">
        <v>410</v>
      </c>
      <c r="AO11" t="s">
        <v>367</v>
      </c>
      <c r="AP11" t="s">
        <v>411</v>
      </c>
      <c r="AQ11" t="s">
        <v>368</v>
      </c>
      <c r="AR11" t="s">
        <v>369</v>
      </c>
      <c r="AS11">
        <v>16</v>
      </c>
      <c r="AT11" t="s">
        <v>349</v>
      </c>
      <c r="AU11" t="s">
        <v>349</v>
      </c>
      <c r="AV11" t="s">
        <v>367</v>
      </c>
      <c r="AW11" t="s">
        <v>367</v>
      </c>
      <c r="AX11" t="s">
        <v>367</v>
      </c>
      <c r="AY11" t="s">
        <v>367</v>
      </c>
      <c r="AZ11" t="s">
        <v>367</v>
      </c>
      <c r="BA11" t="s">
        <v>367</v>
      </c>
      <c r="BB11" t="s">
        <v>367</v>
      </c>
      <c r="BC11">
        <v>6</v>
      </c>
    </row>
    <row r="12" spans="1:277" ht="15" customHeight="1" x14ac:dyDescent="0.35">
      <c r="A12" t="s">
        <v>995</v>
      </c>
      <c r="B12" t="s">
        <v>1527</v>
      </c>
      <c r="C12" t="s">
        <v>25</v>
      </c>
      <c r="D12" t="s">
        <v>26</v>
      </c>
      <c r="E12">
        <v>2002</v>
      </c>
      <c r="F12" t="s">
        <v>27</v>
      </c>
      <c r="G12" t="s">
        <v>335</v>
      </c>
      <c r="H12" t="s">
        <v>335</v>
      </c>
      <c r="I12" t="s">
        <v>335</v>
      </c>
      <c r="J12" t="s">
        <v>339</v>
      </c>
      <c r="K12" t="s">
        <v>335</v>
      </c>
      <c r="L12" t="s">
        <v>352</v>
      </c>
      <c r="M12" t="s">
        <v>352</v>
      </c>
      <c r="N12" t="s">
        <v>335</v>
      </c>
      <c r="O12" t="s">
        <v>1429</v>
      </c>
      <c r="P12" t="s">
        <v>836</v>
      </c>
      <c r="Q12" t="s">
        <v>584</v>
      </c>
      <c r="R12" t="s">
        <v>596</v>
      </c>
      <c r="S12" t="s">
        <v>597</v>
      </c>
      <c r="T12" t="s">
        <v>1235</v>
      </c>
      <c r="U12" t="s">
        <v>1428</v>
      </c>
      <c r="V12">
        <v>60.46</v>
      </c>
      <c r="W12">
        <v>32.479999999999997</v>
      </c>
      <c r="X12">
        <v>20</v>
      </c>
      <c r="Y12" t="s">
        <v>1427</v>
      </c>
      <c r="AA12" t="s">
        <v>393</v>
      </c>
      <c r="AB12" t="s">
        <v>1436</v>
      </c>
      <c r="AC12" t="s">
        <v>1237</v>
      </c>
      <c r="AD12" t="s">
        <v>1434</v>
      </c>
      <c r="AE12" t="s">
        <v>345</v>
      </c>
      <c r="AF12" t="s">
        <v>346</v>
      </c>
      <c r="AG12" t="s">
        <v>346</v>
      </c>
      <c r="AH12" t="s">
        <v>346</v>
      </c>
      <c r="AI12" t="s">
        <v>346</v>
      </c>
      <c r="AJ12" t="s">
        <v>346</v>
      </c>
      <c r="AK12" t="s">
        <v>346</v>
      </c>
      <c r="AL12" t="s">
        <v>346</v>
      </c>
      <c r="AM12" t="s">
        <v>347</v>
      </c>
      <c r="AN12" t="s">
        <v>410</v>
      </c>
      <c r="AO12" t="s">
        <v>367</v>
      </c>
      <c r="AP12" t="s">
        <v>411</v>
      </c>
      <c r="AQ12" t="s">
        <v>368</v>
      </c>
      <c r="AR12" t="s">
        <v>369</v>
      </c>
      <c r="AS12">
        <v>16</v>
      </c>
      <c r="AT12" t="s">
        <v>349</v>
      </c>
      <c r="AU12" t="s">
        <v>349</v>
      </c>
      <c r="AV12" t="s">
        <v>367</v>
      </c>
      <c r="AW12" t="s">
        <v>367</v>
      </c>
      <c r="AX12" t="s">
        <v>367</v>
      </c>
      <c r="AY12" t="s">
        <v>367</v>
      </c>
      <c r="AZ12" t="s">
        <v>367</v>
      </c>
      <c r="BA12" t="s">
        <v>367</v>
      </c>
      <c r="BB12" t="s">
        <v>367</v>
      </c>
      <c r="BC12">
        <v>6</v>
      </c>
    </row>
    <row r="13" spans="1:277" ht="15" customHeight="1" x14ac:dyDescent="0.35">
      <c r="A13" t="s">
        <v>995</v>
      </c>
      <c r="B13" t="s">
        <v>1528</v>
      </c>
      <c r="C13" t="s">
        <v>29</v>
      </c>
      <c r="D13" t="s">
        <v>30</v>
      </c>
      <c r="E13">
        <v>2017</v>
      </c>
      <c r="F13" t="s">
        <v>31</v>
      </c>
      <c r="G13" t="s">
        <v>335</v>
      </c>
      <c r="H13" t="s">
        <v>335</v>
      </c>
      <c r="I13" t="s">
        <v>335</v>
      </c>
      <c r="J13" t="s">
        <v>339</v>
      </c>
      <c r="K13" t="s">
        <v>335</v>
      </c>
      <c r="L13" t="s">
        <v>335</v>
      </c>
      <c r="M13" t="s">
        <v>352</v>
      </c>
      <c r="N13" t="s">
        <v>352</v>
      </c>
      <c r="P13" t="s">
        <v>370</v>
      </c>
      <c r="Q13" t="s">
        <v>371</v>
      </c>
      <c r="R13" t="s">
        <v>372</v>
      </c>
      <c r="S13" t="s">
        <v>373</v>
      </c>
      <c r="T13" t="s">
        <v>348</v>
      </c>
      <c r="U13" t="s">
        <v>374</v>
      </c>
      <c r="V13">
        <v>33.008566999999999</v>
      </c>
      <c r="W13">
        <v>-4.0874509999999997</v>
      </c>
      <c r="X13">
        <v>945</v>
      </c>
      <c r="Y13" t="s">
        <v>375</v>
      </c>
      <c r="Z13" t="s">
        <v>1246</v>
      </c>
      <c r="AA13" t="s">
        <v>1247</v>
      </c>
      <c r="AB13" t="s">
        <v>400</v>
      </c>
      <c r="AC13" t="s">
        <v>1241</v>
      </c>
      <c r="AD13" t="s">
        <v>759</v>
      </c>
      <c r="AE13" t="s">
        <v>345</v>
      </c>
      <c r="AF13">
        <v>0.3</v>
      </c>
      <c r="AG13" t="s">
        <v>346</v>
      </c>
      <c r="AH13">
        <v>0.05</v>
      </c>
      <c r="AI13">
        <v>0.55000000000000004</v>
      </c>
      <c r="AJ13" t="s">
        <v>376</v>
      </c>
      <c r="AK13">
        <v>1094</v>
      </c>
      <c r="AL13" t="s">
        <v>377</v>
      </c>
      <c r="AM13" t="s">
        <v>347</v>
      </c>
      <c r="AN13" t="s">
        <v>348</v>
      </c>
      <c r="AO13" t="s">
        <v>349</v>
      </c>
      <c r="AP13" t="s">
        <v>355</v>
      </c>
      <c r="AQ13" t="s">
        <v>351</v>
      </c>
      <c r="AR13" t="s">
        <v>356</v>
      </c>
      <c r="AS13">
        <v>2200</v>
      </c>
      <c r="AT13" t="s">
        <v>349</v>
      </c>
      <c r="AU13" t="s">
        <v>349</v>
      </c>
      <c r="AV13" t="s">
        <v>367</v>
      </c>
      <c r="AW13" t="s">
        <v>367</v>
      </c>
      <c r="AX13" t="s">
        <v>367</v>
      </c>
      <c r="AY13" t="s">
        <v>367</v>
      </c>
      <c r="AZ13" t="s">
        <v>349</v>
      </c>
      <c r="BA13" t="s">
        <v>349</v>
      </c>
      <c r="BB13" t="s">
        <v>367</v>
      </c>
      <c r="BC13">
        <v>2.5</v>
      </c>
    </row>
    <row r="14" spans="1:277" ht="15" customHeight="1" x14ac:dyDescent="0.35">
      <c r="A14" t="s">
        <v>1065</v>
      </c>
      <c r="B14" t="s">
        <v>1529</v>
      </c>
      <c r="C14" t="s">
        <v>1080</v>
      </c>
      <c r="D14" t="s">
        <v>81</v>
      </c>
      <c r="E14">
        <v>2021</v>
      </c>
      <c r="F14" t="s">
        <v>1081</v>
      </c>
      <c r="G14" t="s">
        <v>335</v>
      </c>
      <c r="H14" t="s">
        <v>335</v>
      </c>
      <c r="I14" t="s">
        <v>335</v>
      </c>
      <c r="J14" t="s">
        <v>339</v>
      </c>
      <c r="K14" t="s">
        <v>335</v>
      </c>
      <c r="L14" t="s">
        <v>335</v>
      </c>
      <c r="M14" t="s">
        <v>352</v>
      </c>
      <c r="N14" t="s">
        <v>335</v>
      </c>
      <c r="P14" t="s">
        <v>387</v>
      </c>
      <c r="Q14" t="s">
        <v>861</v>
      </c>
      <c r="R14" t="s">
        <v>862</v>
      </c>
      <c r="S14" t="s">
        <v>603</v>
      </c>
      <c r="T14" t="s">
        <v>1235</v>
      </c>
      <c r="U14" t="s">
        <v>1239</v>
      </c>
      <c r="V14">
        <v>42.068322000000002</v>
      </c>
      <c r="W14">
        <v>-113.422347</v>
      </c>
      <c r="X14">
        <v>1490</v>
      </c>
      <c r="Y14" t="s">
        <v>727</v>
      </c>
      <c r="Z14" t="s">
        <v>1125</v>
      </c>
      <c r="AA14" t="s">
        <v>393</v>
      </c>
      <c r="AB14" t="s">
        <v>393</v>
      </c>
      <c r="AC14" t="s">
        <v>1241</v>
      </c>
      <c r="AD14" t="s">
        <v>1248</v>
      </c>
      <c r="AE14" t="s">
        <v>354</v>
      </c>
      <c r="AF14" t="s">
        <v>346</v>
      </c>
      <c r="AG14" t="s">
        <v>346</v>
      </c>
      <c r="AH14" t="s">
        <v>346</v>
      </c>
      <c r="AI14" t="s">
        <v>346</v>
      </c>
      <c r="AJ14" t="s">
        <v>339</v>
      </c>
      <c r="AK14">
        <v>134</v>
      </c>
      <c r="AL14" t="s">
        <v>527</v>
      </c>
      <c r="AM14" t="s">
        <v>339</v>
      </c>
      <c r="AN14" t="s">
        <v>348</v>
      </c>
      <c r="AO14" t="s">
        <v>367</v>
      </c>
      <c r="AP14" t="s">
        <v>350</v>
      </c>
      <c r="AQ14" t="s">
        <v>368</v>
      </c>
      <c r="AR14" t="s">
        <v>369</v>
      </c>
      <c r="AS14">
        <v>998</v>
      </c>
      <c r="AT14" t="s">
        <v>367</v>
      </c>
      <c r="AU14" t="s">
        <v>367</v>
      </c>
      <c r="AV14" t="s">
        <v>367</v>
      </c>
      <c r="AW14" t="s">
        <v>349</v>
      </c>
      <c r="AX14" t="s">
        <v>367</v>
      </c>
      <c r="AY14" t="s">
        <v>349</v>
      </c>
      <c r="AZ14" t="s">
        <v>349</v>
      </c>
      <c r="BA14" t="s">
        <v>367</v>
      </c>
      <c r="BB14" t="s">
        <v>367</v>
      </c>
      <c r="BC14">
        <v>3</v>
      </c>
    </row>
    <row r="15" spans="1:277" ht="15" customHeight="1" x14ac:dyDescent="0.35">
      <c r="A15" t="s">
        <v>995</v>
      </c>
      <c r="B15" t="s">
        <v>1530</v>
      </c>
      <c r="C15" t="s">
        <v>1693</v>
      </c>
      <c r="D15" t="s">
        <v>35</v>
      </c>
      <c r="E15" t="str">
        <f>"1994"</f>
        <v>1994</v>
      </c>
      <c r="G15" t="s">
        <v>335</v>
      </c>
      <c r="H15" t="s">
        <v>335</v>
      </c>
      <c r="I15" t="s">
        <v>335</v>
      </c>
      <c r="J15" t="s">
        <v>339</v>
      </c>
      <c r="K15" t="s">
        <v>335</v>
      </c>
      <c r="L15" t="s">
        <v>335</v>
      </c>
      <c r="M15" t="s">
        <v>352</v>
      </c>
      <c r="N15" t="s">
        <v>352</v>
      </c>
      <c r="O15" t="s">
        <v>511</v>
      </c>
      <c r="P15" t="s">
        <v>475</v>
      </c>
      <c r="Q15" t="s">
        <v>52</v>
      </c>
      <c r="R15" t="s">
        <v>707</v>
      </c>
      <c r="S15" t="s">
        <v>1704</v>
      </c>
      <c r="T15" t="s">
        <v>1249</v>
      </c>
      <c r="U15" t="s">
        <v>471</v>
      </c>
      <c r="V15">
        <v>-32.404000000000003</v>
      </c>
      <c r="W15">
        <v>151.434</v>
      </c>
      <c r="X15">
        <v>236</v>
      </c>
      <c r="Y15" t="s">
        <v>505</v>
      </c>
      <c r="AA15" t="s">
        <v>393</v>
      </c>
      <c r="AB15" t="s">
        <v>393</v>
      </c>
      <c r="AC15" t="s">
        <v>1241</v>
      </c>
      <c r="AD15" t="s">
        <v>503</v>
      </c>
      <c r="AE15" t="s">
        <v>354</v>
      </c>
      <c r="AF15" t="s">
        <v>346</v>
      </c>
      <c r="AG15" t="s">
        <v>346</v>
      </c>
      <c r="AH15" t="s">
        <v>346</v>
      </c>
      <c r="AI15" t="s">
        <v>346</v>
      </c>
      <c r="AJ15" t="s">
        <v>339</v>
      </c>
      <c r="AK15">
        <v>409</v>
      </c>
      <c r="AL15" t="s">
        <v>377</v>
      </c>
      <c r="AM15" t="s">
        <v>339</v>
      </c>
      <c r="AN15" t="s">
        <v>348</v>
      </c>
      <c r="AO15" t="s">
        <v>367</v>
      </c>
      <c r="AP15" t="s">
        <v>350</v>
      </c>
      <c r="AQ15" t="s">
        <v>368</v>
      </c>
      <c r="AR15" t="s">
        <v>369</v>
      </c>
      <c r="AS15">
        <v>390</v>
      </c>
      <c r="AT15" t="s">
        <v>349</v>
      </c>
      <c r="AU15" t="s">
        <v>367</v>
      </c>
      <c r="AV15" t="s">
        <v>367</v>
      </c>
      <c r="AW15" t="s">
        <v>367</v>
      </c>
      <c r="AX15" t="s">
        <v>367</v>
      </c>
      <c r="AY15" t="s">
        <v>367</v>
      </c>
      <c r="AZ15" t="s">
        <v>367</v>
      </c>
      <c r="BA15" t="s">
        <v>367</v>
      </c>
      <c r="BB15" t="s">
        <v>367</v>
      </c>
      <c r="BC15">
        <v>3.5</v>
      </c>
    </row>
    <row r="16" spans="1:277" ht="15" customHeight="1" x14ac:dyDescent="0.35">
      <c r="A16" t="s">
        <v>995</v>
      </c>
      <c r="B16" t="s">
        <v>1530</v>
      </c>
      <c r="C16" t="s">
        <v>1693</v>
      </c>
      <c r="D16" t="s">
        <v>35</v>
      </c>
      <c r="E16" t="str">
        <f>"1994"</f>
        <v>1994</v>
      </c>
      <c r="G16" t="s">
        <v>335</v>
      </c>
      <c r="H16" t="s">
        <v>335</v>
      </c>
      <c r="I16" t="s">
        <v>335</v>
      </c>
      <c r="J16" t="s">
        <v>339</v>
      </c>
      <c r="K16" t="s">
        <v>335</v>
      </c>
      <c r="L16" t="s">
        <v>335</v>
      </c>
      <c r="M16" t="s">
        <v>352</v>
      </c>
      <c r="N16" t="s">
        <v>352</v>
      </c>
      <c r="O16" t="s">
        <v>511</v>
      </c>
      <c r="P16" t="s">
        <v>475</v>
      </c>
      <c r="Q16" t="s">
        <v>52</v>
      </c>
      <c r="R16" t="s">
        <v>683</v>
      </c>
      <c r="S16" t="s">
        <v>679</v>
      </c>
      <c r="T16" t="s">
        <v>1249</v>
      </c>
      <c r="U16" t="s">
        <v>471</v>
      </c>
      <c r="V16">
        <v>-32.404000000000003</v>
      </c>
      <c r="W16">
        <v>151.434</v>
      </c>
      <c r="X16">
        <v>236</v>
      </c>
      <c r="Y16" t="s">
        <v>505</v>
      </c>
      <c r="AA16" t="s">
        <v>393</v>
      </c>
      <c r="AB16" t="s">
        <v>393</v>
      </c>
      <c r="AC16" t="s">
        <v>1241</v>
      </c>
      <c r="AD16" t="s">
        <v>503</v>
      </c>
      <c r="AE16" t="s">
        <v>354</v>
      </c>
      <c r="AF16" t="s">
        <v>346</v>
      </c>
      <c r="AG16" t="s">
        <v>346</v>
      </c>
      <c r="AH16" t="s">
        <v>346</v>
      </c>
      <c r="AI16" t="s">
        <v>346</v>
      </c>
      <c r="AJ16" t="s">
        <v>339</v>
      </c>
      <c r="AK16">
        <v>120</v>
      </c>
      <c r="AL16" t="s">
        <v>377</v>
      </c>
      <c r="AM16" t="s">
        <v>339</v>
      </c>
      <c r="AN16" t="s">
        <v>348</v>
      </c>
      <c r="AO16" t="s">
        <v>367</v>
      </c>
      <c r="AP16" t="s">
        <v>350</v>
      </c>
      <c r="AQ16" t="s">
        <v>368</v>
      </c>
      <c r="AR16" t="s">
        <v>369</v>
      </c>
      <c r="AS16">
        <v>1000</v>
      </c>
      <c r="AT16" t="s">
        <v>349</v>
      </c>
      <c r="AU16" t="s">
        <v>367</v>
      </c>
      <c r="AV16" t="s">
        <v>367</v>
      </c>
      <c r="AW16" t="s">
        <v>349</v>
      </c>
      <c r="AX16" t="s">
        <v>349</v>
      </c>
      <c r="AY16" t="s">
        <v>349</v>
      </c>
      <c r="AZ16" t="s">
        <v>349</v>
      </c>
      <c r="BA16" t="s">
        <v>367</v>
      </c>
      <c r="BB16" t="s">
        <v>367</v>
      </c>
      <c r="BC16">
        <v>3</v>
      </c>
    </row>
    <row r="17" spans="1:55" ht="15" customHeight="1" x14ac:dyDescent="0.35">
      <c r="A17" t="s">
        <v>995</v>
      </c>
      <c r="B17" t="s">
        <v>1530</v>
      </c>
      <c r="C17" t="s">
        <v>1693</v>
      </c>
      <c r="D17" t="s">
        <v>35</v>
      </c>
      <c r="E17" t="str">
        <f>"1994"</f>
        <v>1994</v>
      </c>
      <c r="G17" t="s">
        <v>335</v>
      </c>
      <c r="H17" t="s">
        <v>335</v>
      </c>
      <c r="I17" t="s">
        <v>335</v>
      </c>
      <c r="J17" t="s">
        <v>339</v>
      </c>
      <c r="K17" t="s">
        <v>335</v>
      </c>
      <c r="L17" t="s">
        <v>335</v>
      </c>
      <c r="M17" t="s">
        <v>352</v>
      </c>
      <c r="N17" t="s">
        <v>352</v>
      </c>
      <c r="O17" t="s">
        <v>511</v>
      </c>
      <c r="P17" t="s">
        <v>475</v>
      </c>
      <c r="Q17" t="s">
        <v>473</v>
      </c>
      <c r="R17" t="s">
        <v>474</v>
      </c>
      <c r="S17" t="s">
        <v>470</v>
      </c>
      <c r="T17" t="s">
        <v>1249</v>
      </c>
      <c r="U17" t="s">
        <v>471</v>
      </c>
      <c r="V17">
        <v>-32.404000000000003</v>
      </c>
      <c r="W17">
        <v>151.434</v>
      </c>
      <c r="X17">
        <v>236</v>
      </c>
      <c r="Y17" t="s">
        <v>505</v>
      </c>
      <c r="AA17" t="s">
        <v>393</v>
      </c>
      <c r="AB17" t="s">
        <v>393</v>
      </c>
      <c r="AC17" t="s">
        <v>1241</v>
      </c>
      <c r="AD17" t="s">
        <v>503</v>
      </c>
      <c r="AE17" t="s">
        <v>354</v>
      </c>
      <c r="AF17" t="s">
        <v>346</v>
      </c>
      <c r="AG17" t="s">
        <v>346</v>
      </c>
      <c r="AH17" t="s">
        <v>346</v>
      </c>
      <c r="AI17" t="s">
        <v>346</v>
      </c>
      <c r="AJ17" t="s">
        <v>339</v>
      </c>
      <c r="AK17">
        <v>61</v>
      </c>
      <c r="AL17" t="s">
        <v>377</v>
      </c>
      <c r="AM17" t="s">
        <v>339</v>
      </c>
      <c r="AN17" t="s">
        <v>348</v>
      </c>
      <c r="AO17" t="s">
        <v>349</v>
      </c>
      <c r="AP17" t="s">
        <v>350</v>
      </c>
      <c r="AQ17" t="s">
        <v>368</v>
      </c>
      <c r="AR17" t="s">
        <v>369</v>
      </c>
      <c r="AS17">
        <v>495</v>
      </c>
      <c r="AT17" t="s">
        <v>349</v>
      </c>
      <c r="AU17" t="s">
        <v>367</v>
      </c>
      <c r="AV17" t="s">
        <v>367</v>
      </c>
      <c r="AW17" t="s">
        <v>367</v>
      </c>
      <c r="AX17" t="s">
        <v>349</v>
      </c>
      <c r="AY17" t="s">
        <v>349</v>
      </c>
      <c r="AZ17" t="s">
        <v>349</v>
      </c>
      <c r="BA17" t="s">
        <v>367</v>
      </c>
      <c r="BB17" t="s">
        <v>367</v>
      </c>
      <c r="BC17">
        <v>4.5</v>
      </c>
    </row>
    <row r="18" spans="1:55" ht="15" customHeight="1" x14ac:dyDescent="0.35">
      <c r="A18" t="s">
        <v>995</v>
      </c>
      <c r="B18" t="s">
        <v>1530</v>
      </c>
      <c r="C18" t="s">
        <v>1693</v>
      </c>
      <c r="D18" t="s">
        <v>35</v>
      </c>
      <c r="E18" t="str">
        <f>"1994"</f>
        <v>1994</v>
      </c>
      <c r="G18" t="s">
        <v>335</v>
      </c>
      <c r="H18" t="s">
        <v>335</v>
      </c>
      <c r="I18" t="s">
        <v>335</v>
      </c>
      <c r="J18" t="s">
        <v>339</v>
      </c>
      <c r="K18" t="s">
        <v>335</v>
      </c>
      <c r="L18" t="s">
        <v>335</v>
      </c>
      <c r="M18" t="s">
        <v>352</v>
      </c>
      <c r="N18" t="s">
        <v>352</v>
      </c>
      <c r="O18" t="s">
        <v>511</v>
      </c>
      <c r="P18" t="s">
        <v>475</v>
      </c>
      <c r="Q18" t="s">
        <v>52</v>
      </c>
      <c r="R18" t="s">
        <v>504</v>
      </c>
      <c r="S18" t="s">
        <v>1705</v>
      </c>
      <c r="T18" t="s">
        <v>1249</v>
      </c>
      <c r="U18" t="s">
        <v>471</v>
      </c>
      <c r="V18">
        <v>-32.404000000000003</v>
      </c>
      <c r="W18">
        <v>151.434</v>
      </c>
      <c r="X18">
        <v>236</v>
      </c>
      <c r="Y18" t="s">
        <v>505</v>
      </c>
      <c r="Z18" t="s">
        <v>502</v>
      </c>
      <c r="AA18" t="s">
        <v>393</v>
      </c>
      <c r="AB18" t="s">
        <v>393</v>
      </c>
      <c r="AC18" t="s">
        <v>1241</v>
      </c>
      <c r="AD18" t="s">
        <v>503</v>
      </c>
      <c r="AE18" t="s">
        <v>345</v>
      </c>
      <c r="AF18">
        <v>2.5600000000000002E-3</v>
      </c>
      <c r="AG18" t="s">
        <v>346</v>
      </c>
      <c r="AH18" t="s">
        <v>346</v>
      </c>
      <c r="AI18" t="s">
        <v>346</v>
      </c>
      <c r="AJ18" t="s">
        <v>592</v>
      </c>
      <c r="AK18">
        <v>146</v>
      </c>
      <c r="AL18" t="s">
        <v>377</v>
      </c>
      <c r="AM18" t="s">
        <v>347</v>
      </c>
      <c r="AN18" t="s">
        <v>348</v>
      </c>
      <c r="AO18" t="s">
        <v>367</v>
      </c>
      <c r="AP18" t="s">
        <v>350</v>
      </c>
      <c r="AQ18" t="s">
        <v>368</v>
      </c>
      <c r="AR18" t="s">
        <v>369</v>
      </c>
      <c r="AS18">
        <v>450</v>
      </c>
      <c r="AT18" t="s">
        <v>349</v>
      </c>
      <c r="AU18" t="s">
        <v>367</v>
      </c>
      <c r="AV18" t="s">
        <v>367</v>
      </c>
      <c r="AW18" t="s">
        <v>367</v>
      </c>
      <c r="AX18" t="s">
        <v>349</v>
      </c>
      <c r="AY18" t="s">
        <v>367</v>
      </c>
      <c r="AZ18" t="s">
        <v>349</v>
      </c>
      <c r="BA18" t="s">
        <v>349</v>
      </c>
      <c r="BB18" t="s">
        <v>367</v>
      </c>
      <c r="BC18">
        <v>3</v>
      </c>
    </row>
    <row r="19" spans="1:55" ht="15" customHeight="1" x14ac:dyDescent="0.35">
      <c r="A19" t="s">
        <v>995</v>
      </c>
      <c r="B19" t="s">
        <v>1531</v>
      </c>
      <c r="C19" t="s">
        <v>36</v>
      </c>
      <c r="D19" t="s">
        <v>37</v>
      </c>
      <c r="E19">
        <v>2016</v>
      </c>
      <c r="F19" t="s">
        <v>38</v>
      </c>
      <c r="G19" t="s">
        <v>335</v>
      </c>
      <c r="H19" t="s">
        <v>335</v>
      </c>
      <c r="I19" t="s">
        <v>335</v>
      </c>
      <c r="J19" t="s">
        <v>339</v>
      </c>
      <c r="K19" t="s">
        <v>335</v>
      </c>
      <c r="L19" t="s">
        <v>335</v>
      </c>
      <c r="M19" t="s">
        <v>352</v>
      </c>
      <c r="N19" t="s">
        <v>352</v>
      </c>
      <c r="P19" t="s">
        <v>387</v>
      </c>
      <c r="Q19" t="s">
        <v>463</v>
      </c>
      <c r="R19" t="s">
        <v>464</v>
      </c>
      <c r="S19" t="s">
        <v>462</v>
      </c>
      <c r="T19" t="s">
        <v>348</v>
      </c>
      <c r="U19" t="s">
        <v>361</v>
      </c>
      <c r="V19" s="4">
        <v>73</v>
      </c>
      <c r="W19" s="4">
        <v>-80</v>
      </c>
      <c r="X19">
        <v>340</v>
      </c>
      <c r="Y19" t="s">
        <v>465</v>
      </c>
      <c r="Z19" t="s">
        <v>468</v>
      </c>
      <c r="AA19" t="s">
        <v>1236</v>
      </c>
      <c r="AB19" t="s">
        <v>384</v>
      </c>
      <c r="AC19" t="s">
        <v>366</v>
      </c>
      <c r="AD19" t="s">
        <v>1250</v>
      </c>
      <c r="AE19" t="s">
        <v>364</v>
      </c>
      <c r="AF19">
        <v>-0.06</v>
      </c>
      <c r="AG19" t="s">
        <v>346</v>
      </c>
      <c r="AH19">
        <v>-0.11</v>
      </c>
      <c r="AI19">
        <v>0</v>
      </c>
      <c r="AJ19" t="s">
        <v>513</v>
      </c>
      <c r="AK19">
        <v>77</v>
      </c>
      <c r="AL19" t="s">
        <v>377</v>
      </c>
      <c r="AM19" t="s">
        <v>366</v>
      </c>
      <c r="AN19" t="s">
        <v>348</v>
      </c>
      <c r="AO19" t="s">
        <v>367</v>
      </c>
      <c r="AP19" t="s">
        <v>350</v>
      </c>
      <c r="AQ19" t="s">
        <v>368</v>
      </c>
      <c r="AR19" t="s">
        <v>369</v>
      </c>
      <c r="AS19">
        <v>1130</v>
      </c>
      <c r="AT19" t="s">
        <v>367</v>
      </c>
      <c r="AU19" t="s">
        <v>367</v>
      </c>
      <c r="AV19" t="s">
        <v>367</v>
      </c>
      <c r="AW19" t="s">
        <v>349</v>
      </c>
      <c r="AX19" t="s">
        <v>349</v>
      </c>
      <c r="AY19" t="s">
        <v>349</v>
      </c>
      <c r="AZ19" t="s">
        <v>367</v>
      </c>
      <c r="BA19" t="s">
        <v>367</v>
      </c>
      <c r="BB19" t="s">
        <v>367</v>
      </c>
      <c r="BC19">
        <v>4.5</v>
      </c>
    </row>
    <row r="20" spans="1:55" ht="15" customHeight="1" x14ac:dyDescent="0.35">
      <c r="A20" t="s">
        <v>995</v>
      </c>
      <c r="B20" t="s">
        <v>1532</v>
      </c>
      <c r="C20" t="s">
        <v>39</v>
      </c>
      <c r="D20" t="s">
        <v>40</v>
      </c>
      <c r="E20">
        <v>2015</v>
      </c>
      <c r="F20" t="s">
        <v>41</v>
      </c>
      <c r="G20" t="s">
        <v>335</v>
      </c>
      <c r="H20" t="s">
        <v>335</v>
      </c>
      <c r="I20" t="s">
        <v>335</v>
      </c>
      <c r="J20" t="s">
        <v>339</v>
      </c>
      <c r="K20" t="s">
        <v>335</v>
      </c>
      <c r="L20" t="s">
        <v>335</v>
      </c>
      <c r="M20" t="s">
        <v>352</v>
      </c>
      <c r="N20" t="s">
        <v>352</v>
      </c>
      <c r="O20" t="s">
        <v>510</v>
      </c>
      <c r="P20" t="s">
        <v>461</v>
      </c>
      <c r="Q20" t="s">
        <v>508</v>
      </c>
      <c r="R20" t="s">
        <v>509</v>
      </c>
      <c r="S20" t="s">
        <v>507</v>
      </c>
      <c r="T20" t="s">
        <v>1235</v>
      </c>
      <c r="U20" t="s">
        <v>506</v>
      </c>
      <c r="V20">
        <v>35.897142000000002</v>
      </c>
      <c r="W20">
        <v>-84.506467000000001</v>
      </c>
      <c r="X20">
        <v>492</v>
      </c>
      <c r="Y20" t="s">
        <v>453</v>
      </c>
      <c r="AA20" t="s">
        <v>1236</v>
      </c>
      <c r="AB20" t="s">
        <v>514</v>
      </c>
      <c r="AC20" t="s">
        <v>366</v>
      </c>
      <c r="AD20" t="s">
        <v>1173</v>
      </c>
      <c r="AE20" t="s">
        <v>364</v>
      </c>
      <c r="AF20">
        <v>-1.7999999999999999E-2</v>
      </c>
      <c r="AG20">
        <v>8.9999999999999993E-3</v>
      </c>
      <c r="AH20" t="s">
        <v>346</v>
      </c>
      <c r="AI20" t="s">
        <v>346</v>
      </c>
      <c r="AJ20" t="s">
        <v>513</v>
      </c>
      <c r="AK20">
        <v>431</v>
      </c>
      <c r="AL20" t="s">
        <v>377</v>
      </c>
      <c r="AM20" t="s">
        <v>347</v>
      </c>
      <c r="AN20" t="s">
        <v>410</v>
      </c>
      <c r="AO20" t="s">
        <v>367</v>
      </c>
      <c r="AP20" t="s">
        <v>411</v>
      </c>
      <c r="AQ20" t="s">
        <v>368</v>
      </c>
      <c r="AR20" t="s">
        <v>369</v>
      </c>
      <c r="AS20">
        <v>20</v>
      </c>
      <c r="AT20" t="s">
        <v>349</v>
      </c>
      <c r="AU20" t="s">
        <v>367</v>
      </c>
      <c r="AV20" t="s">
        <v>367</v>
      </c>
      <c r="AW20" t="s">
        <v>367</v>
      </c>
      <c r="AX20" t="s">
        <v>367</v>
      </c>
      <c r="AY20" t="s">
        <v>367</v>
      </c>
      <c r="AZ20" t="s">
        <v>367</v>
      </c>
      <c r="BA20" t="s">
        <v>367</v>
      </c>
      <c r="BB20" t="s">
        <v>367</v>
      </c>
      <c r="BC20">
        <v>5.5</v>
      </c>
    </row>
    <row r="21" spans="1:55" ht="15" customHeight="1" x14ac:dyDescent="0.35">
      <c r="A21" t="s">
        <v>995</v>
      </c>
      <c r="B21" t="s">
        <v>1532</v>
      </c>
      <c r="C21" t="s">
        <v>39</v>
      </c>
      <c r="D21" t="s">
        <v>40</v>
      </c>
      <c r="E21">
        <v>2015</v>
      </c>
      <c r="F21" t="s">
        <v>41</v>
      </c>
      <c r="G21" t="s">
        <v>335</v>
      </c>
      <c r="H21" t="s">
        <v>335</v>
      </c>
      <c r="I21" t="s">
        <v>335</v>
      </c>
      <c r="J21" t="s">
        <v>339</v>
      </c>
      <c r="K21" t="s">
        <v>335</v>
      </c>
      <c r="L21" t="s">
        <v>335</v>
      </c>
      <c r="M21" t="s">
        <v>352</v>
      </c>
      <c r="N21" t="s">
        <v>352</v>
      </c>
      <c r="O21" t="s">
        <v>510</v>
      </c>
      <c r="P21" t="s">
        <v>461</v>
      </c>
      <c r="Q21" t="s">
        <v>508</v>
      </c>
      <c r="R21" t="s">
        <v>509</v>
      </c>
      <c r="S21" t="s">
        <v>507</v>
      </c>
      <c r="T21" t="s">
        <v>1235</v>
      </c>
      <c r="U21" t="s">
        <v>506</v>
      </c>
      <c r="V21">
        <v>35.897142000000002</v>
      </c>
      <c r="W21">
        <v>-84.506467000000001</v>
      </c>
      <c r="X21">
        <v>492</v>
      </c>
      <c r="Y21" t="s">
        <v>453</v>
      </c>
      <c r="AA21" t="s">
        <v>1236</v>
      </c>
      <c r="AB21" t="s">
        <v>512</v>
      </c>
      <c r="AC21" t="s">
        <v>1237</v>
      </c>
      <c r="AD21" t="s">
        <v>515</v>
      </c>
      <c r="AE21" t="s">
        <v>345</v>
      </c>
      <c r="AF21">
        <v>2E-3</v>
      </c>
      <c r="AG21">
        <v>3.0000000000000001E-3</v>
      </c>
      <c r="AH21" t="s">
        <v>346</v>
      </c>
      <c r="AI21" t="s">
        <v>346</v>
      </c>
      <c r="AJ21" t="s">
        <v>513</v>
      </c>
      <c r="AK21">
        <v>534</v>
      </c>
      <c r="AL21" t="s">
        <v>377</v>
      </c>
      <c r="AM21" t="s">
        <v>347</v>
      </c>
      <c r="AN21" t="s">
        <v>410</v>
      </c>
      <c r="AO21" t="s">
        <v>367</v>
      </c>
      <c r="AP21" t="s">
        <v>411</v>
      </c>
      <c r="AQ21" t="s">
        <v>368</v>
      </c>
      <c r="AR21" t="s">
        <v>369</v>
      </c>
      <c r="AS21">
        <v>20</v>
      </c>
      <c r="AT21" t="s">
        <v>349</v>
      </c>
      <c r="AU21" t="s">
        <v>367</v>
      </c>
      <c r="AV21" t="s">
        <v>367</v>
      </c>
      <c r="AW21" t="s">
        <v>367</v>
      </c>
      <c r="AX21" t="s">
        <v>367</v>
      </c>
      <c r="AY21" t="s">
        <v>367</v>
      </c>
      <c r="AZ21" t="s">
        <v>367</v>
      </c>
      <c r="BA21" t="s">
        <v>367</v>
      </c>
      <c r="BB21" t="s">
        <v>367</v>
      </c>
      <c r="BC21">
        <v>5.5</v>
      </c>
    </row>
    <row r="22" spans="1:55" ht="15" customHeight="1" x14ac:dyDescent="0.35">
      <c r="A22" t="s">
        <v>995</v>
      </c>
      <c r="B22" t="s">
        <v>1533</v>
      </c>
      <c r="C22" t="s">
        <v>43</v>
      </c>
      <c r="D22" t="s">
        <v>17</v>
      </c>
      <c r="E22">
        <v>2000</v>
      </c>
      <c r="F22" t="s">
        <v>44</v>
      </c>
      <c r="G22" t="s">
        <v>335</v>
      </c>
      <c r="H22" t="s">
        <v>335</v>
      </c>
      <c r="I22" t="s">
        <v>335</v>
      </c>
      <c r="J22" t="s">
        <v>339</v>
      </c>
      <c r="K22" t="s">
        <v>335</v>
      </c>
      <c r="L22" t="s">
        <v>335</v>
      </c>
      <c r="M22" t="s">
        <v>352</v>
      </c>
      <c r="N22" t="s">
        <v>335</v>
      </c>
      <c r="O22" t="s">
        <v>476</v>
      </c>
      <c r="P22" t="s">
        <v>475</v>
      </c>
      <c r="Q22" t="s">
        <v>473</v>
      </c>
      <c r="R22" t="s">
        <v>474</v>
      </c>
      <c r="S22" t="s">
        <v>470</v>
      </c>
      <c r="T22" t="s">
        <v>1249</v>
      </c>
      <c r="U22" t="s">
        <v>471</v>
      </c>
      <c r="V22">
        <v>43.490941999999997</v>
      </c>
      <c r="W22">
        <v>4.5391199999999996</v>
      </c>
      <c r="X22">
        <v>1</v>
      </c>
      <c r="Y22" t="s">
        <v>472</v>
      </c>
      <c r="Z22" t="s">
        <v>469</v>
      </c>
      <c r="AA22" t="s">
        <v>1236</v>
      </c>
      <c r="AB22" t="s">
        <v>384</v>
      </c>
      <c r="AC22" t="s">
        <v>1241</v>
      </c>
      <c r="AD22" t="s">
        <v>1251</v>
      </c>
      <c r="AE22" t="s">
        <v>354</v>
      </c>
      <c r="AF22" t="s">
        <v>346</v>
      </c>
      <c r="AG22" t="s">
        <v>346</v>
      </c>
      <c r="AH22" t="s">
        <v>346</v>
      </c>
      <c r="AI22" t="s">
        <v>346</v>
      </c>
      <c r="AJ22" t="s">
        <v>346</v>
      </c>
      <c r="AK22">
        <v>2092</v>
      </c>
      <c r="AL22" t="s">
        <v>377</v>
      </c>
      <c r="AM22" t="s">
        <v>339</v>
      </c>
      <c r="AN22" t="s">
        <v>348</v>
      </c>
      <c r="AO22" t="s">
        <v>349</v>
      </c>
      <c r="AP22" t="s">
        <v>350</v>
      </c>
      <c r="AQ22" t="s">
        <v>368</v>
      </c>
      <c r="AR22" t="s">
        <v>369</v>
      </c>
      <c r="AS22">
        <v>495</v>
      </c>
      <c r="AT22" t="s">
        <v>349</v>
      </c>
      <c r="AU22" t="s">
        <v>367</v>
      </c>
      <c r="AV22" t="s">
        <v>367</v>
      </c>
      <c r="AW22" t="s">
        <v>367</v>
      </c>
      <c r="AX22" t="s">
        <v>349</v>
      </c>
      <c r="AY22" t="s">
        <v>349</v>
      </c>
      <c r="AZ22" t="s">
        <v>349</v>
      </c>
      <c r="BA22" t="s">
        <v>367</v>
      </c>
      <c r="BB22" t="s">
        <v>367</v>
      </c>
      <c r="BC22">
        <v>4.5</v>
      </c>
    </row>
    <row r="23" spans="1:55" ht="15" customHeight="1" x14ac:dyDescent="0.35">
      <c r="A23" t="s">
        <v>995</v>
      </c>
      <c r="B23" t="s">
        <v>1533</v>
      </c>
      <c r="C23" t="s">
        <v>1694</v>
      </c>
      <c r="D23" t="s">
        <v>488</v>
      </c>
      <c r="E23" t="str">
        <f>"1988"</f>
        <v>1988</v>
      </c>
      <c r="F23" t="s">
        <v>45</v>
      </c>
      <c r="G23" t="s">
        <v>335</v>
      </c>
      <c r="H23" t="s">
        <v>335</v>
      </c>
      <c r="I23" t="s">
        <v>335</v>
      </c>
      <c r="J23" t="s">
        <v>339</v>
      </c>
      <c r="K23" t="s">
        <v>335</v>
      </c>
      <c r="L23" t="s">
        <v>335</v>
      </c>
      <c r="M23" t="s">
        <v>352</v>
      </c>
      <c r="N23" t="s">
        <v>352</v>
      </c>
      <c r="O23" t="s">
        <v>485</v>
      </c>
      <c r="P23" t="s">
        <v>387</v>
      </c>
      <c r="Q23" t="s">
        <v>486</v>
      </c>
      <c r="R23" t="s">
        <v>487</v>
      </c>
      <c r="S23" t="s">
        <v>483</v>
      </c>
      <c r="T23" t="s">
        <v>1249</v>
      </c>
      <c r="U23" t="s">
        <v>471</v>
      </c>
      <c r="V23">
        <v>25.774031999999998</v>
      </c>
      <c r="W23">
        <v>-80.912981000000002</v>
      </c>
      <c r="X23">
        <v>2.5</v>
      </c>
      <c r="Y23" t="s">
        <v>484</v>
      </c>
      <c r="Z23" t="s">
        <v>1252</v>
      </c>
      <c r="AA23" t="s">
        <v>1247</v>
      </c>
      <c r="AB23" t="s">
        <v>1253</v>
      </c>
      <c r="AC23" t="s">
        <v>366</v>
      </c>
      <c r="AD23" t="s">
        <v>433</v>
      </c>
      <c r="AE23" t="s">
        <v>345</v>
      </c>
      <c r="AF23">
        <v>0.82899999999999996</v>
      </c>
      <c r="AG23">
        <v>0.31</v>
      </c>
      <c r="AH23" t="s">
        <v>346</v>
      </c>
      <c r="AI23" t="s">
        <v>346</v>
      </c>
      <c r="AJ23" t="s">
        <v>592</v>
      </c>
      <c r="AK23">
        <v>375</v>
      </c>
      <c r="AL23" t="s">
        <v>377</v>
      </c>
      <c r="AM23" t="s">
        <v>347</v>
      </c>
      <c r="AN23" t="s">
        <v>348</v>
      </c>
      <c r="AO23" t="s">
        <v>367</v>
      </c>
      <c r="AP23" t="s">
        <v>350</v>
      </c>
      <c r="AQ23" t="s">
        <v>368</v>
      </c>
      <c r="AR23" t="s">
        <v>369</v>
      </c>
      <c r="AS23">
        <v>460</v>
      </c>
      <c r="AT23" t="s">
        <v>349</v>
      </c>
      <c r="AU23" t="s">
        <v>367</v>
      </c>
      <c r="AV23" t="s">
        <v>367</v>
      </c>
      <c r="AW23" t="s">
        <v>367</v>
      </c>
      <c r="AX23" t="s">
        <v>367</v>
      </c>
      <c r="AY23" t="s">
        <v>367</v>
      </c>
      <c r="AZ23" t="s">
        <v>367</v>
      </c>
      <c r="BA23" t="s">
        <v>367</v>
      </c>
      <c r="BB23" t="s">
        <v>367</v>
      </c>
      <c r="BC23">
        <v>3</v>
      </c>
    </row>
    <row r="24" spans="1:55" ht="15" customHeight="1" x14ac:dyDescent="0.35">
      <c r="A24" t="s">
        <v>995</v>
      </c>
      <c r="B24" t="s">
        <v>1534</v>
      </c>
      <c r="C24" t="s">
        <v>48</v>
      </c>
      <c r="D24" t="s">
        <v>49</v>
      </c>
      <c r="E24">
        <v>2013</v>
      </c>
      <c r="F24" t="s">
        <v>50</v>
      </c>
      <c r="G24" t="s">
        <v>335</v>
      </c>
      <c r="H24" t="s">
        <v>335</v>
      </c>
      <c r="I24" t="s">
        <v>335</v>
      </c>
      <c r="J24" t="s">
        <v>339</v>
      </c>
      <c r="K24" t="s">
        <v>335</v>
      </c>
      <c r="L24" t="s">
        <v>335</v>
      </c>
      <c r="M24" t="s">
        <v>352</v>
      </c>
      <c r="N24" t="s">
        <v>352</v>
      </c>
      <c r="O24" t="s">
        <v>478</v>
      </c>
      <c r="P24" t="s">
        <v>480</v>
      </c>
      <c r="Q24" t="s">
        <v>481</v>
      </c>
      <c r="R24" t="s">
        <v>482</v>
      </c>
      <c r="S24" t="s">
        <v>1514</v>
      </c>
      <c r="T24" t="s">
        <v>1235</v>
      </c>
      <c r="U24" t="s">
        <v>639</v>
      </c>
      <c r="V24" s="5">
        <v>39.857717999999998</v>
      </c>
      <c r="W24" s="5">
        <v>-116.356182</v>
      </c>
      <c r="X24">
        <v>2375</v>
      </c>
      <c r="Y24" t="s">
        <v>479</v>
      </c>
      <c r="Z24" t="s">
        <v>1254</v>
      </c>
      <c r="AA24" t="s">
        <v>1236</v>
      </c>
      <c r="AB24" t="s">
        <v>384</v>
      </c>
      <c r="AC24" t="s">
        <v>1241</v>
      </c>
      <c r="AD24" t="s">
        <v>1255</v>
      </c>
      <c r="AE24" t="s">
        <v>345</v>
      </c>
      <c r="AF24">
        <v>0.46</v>
      </c>
      <c r="AG24" t="s">
        <v>346</v>
      </c>
      <c r="AH24">
        <v>0.03</v>
      </c>
      <c r="AI24">
        <v>0.9</v>
      </c>
      <c r="AJ24" t="s">
        <v>592</v>
      </c>
      <c r="AK24">
        <v>272</v>
      </c>
      <c r="AL24" t="s">
        <v>477</v>
      </c>
      <c r="AM24" t="s">
        <v>347</v>
      </c>
      <c r="AN24" t="s">
        <v>348</v>
      </c>
      <c r="AO24" t="s">
        <v>349</v>
      </c>
      <c r="AP24" t="s">
        <v>355</v>
      </c>
      <c r="AQ24" t="s">
        <v>351</v>
      </c>
      <c r="AR24" t="s">
        <v>356</v>
      </c>
      <c r="AS24">
        <v>1950</v>
      </c>
      <c r="AT24" t="s">
        <v>349</v>
      </c>
      <c r="AU24" t="s">
        <v>349</v>
      </c>
      <c r="AV24" t="s">
        <v>367</v>
      </c>
      <c r="AW24" t="s">
        <v>367</v>
      </c>
      <c r="AX24" t="s">
        <v>367</v>
      </c>
      <c r="AY24" t="s">
        <v>367</v>
      </c>
      <c r="AZ24" t="s">
        <v>367</v>
      </c>
      <c r="BA24" t="s">
        <v>367</v>
      </c>
      <c r="BB24" t="s">
        <v>367</v>
      </c>
      <c r="BC24">
        <v>7.5</v>
      </c>
    </row>
    <row r="25" spans="1:55" ht="15" customHeight="1" x14ac:dyDescent="0.35">
      <c r="A25" t="s">
        <v>995</v>
      </c>
      <c r="B25" t="s">
        <v>1535</v>
      </c>
      <c r="C25" t="s">
        <v>51</v>
      </c>
      <c r="D25" t="s">
        <v>52</v>
      </c>
      <c r="E25" t="str">
        <f>"2014"</f>
        <v>2014</v>
      </c>
      <c r="F25" t="s">
        <v>53</v>
      </c>
      <c r="G25" t="s">
        <v>335</v>
      </c>
      <c r="H25" t="s">
        <v>335</v>
      </c>
      <c r="I25" t="s">
        <v>335</v>
      </c>
      <c r="J25" t="s">
        <v>339</v>
      </c>
      <c r="K25" t="s">
        <v>335</v>
      </c>
      <c r="L25" t="s">
        <v>335</v>
      </c>
      <c r="M25" t="s">
        <v>352</v>
      </c>
      <c r="N25" t="s">
        <v>335</v>
      </c>
      <c r="O25" t="s">
        <v>517</v>
      </c>
      <c r="P25" t="s">
        <v>518</v>
      </c>
      <c r="Q25" t="s">
        <v>519</v>
      </c>
      <c r="R25" t="s">
        <v>520</v>
      </c>
      <c r="S25" t="s">
        <v>516</v>
      </c>
      <c r="T25" t="s">
        <v>1235</v>
      </c>
      <c r="U25" t="s">
        <v>1239</v>
      </c>
      <c r="V25">
        <v>46.228226999999997</v>
      </c>
      <c r="W25">
        <v>14.987418999999999</v>
      </c>
      <c r="X25">
        <v>1325</v>
      </c>
      <c r="Y25" t="s">
        <v>490</v>
      </c>
      <c r="Z25" t="s">
        <v>1256</v>
      </c>
      <c r="AA25" t="s">
        <v>1236</v>
      </c>
      <c r="AB25" t="s">
        <v>1257</v>
      </c>
      <c r="AC25" t="s">
        <v>1241</v>
      </c>
      <c r="AD25" t="s">
        <v>1258</v>
      </c>
      <c r="AE25" t="s">
        <v>364</v>
      </c>
      <c r="AF25" t="s">
        <v>346</v>
      </c>
      <c r="AG25" t="s">
        <v>346</v>
      </c>
      <c r="AH25" t="s">
        <v>346</v>
      </c>
      <c r="AI25" t="s">
        <v>346</v>
      </c>
      <c r="AJ25" t="s">
        <v>346</v>
      </c>
      <c r="AK25">
        <v>160</v>
      </c>
      <c r="AL25" t="s">
        <v>377</v>
      </c>
      <c r="AM25" t="s">
        <v>347</v>
      </c>
      <c r="AN25" t="s">
        <v>410</v>
      </c>
      <c r="AO25" t="s">
        <v>367</v>
      </c>
      <c r="AP25" t="s">
        <v>411</v>
      </c>
      <c r="AQ25" t="s">
        <v>368</v>
      </c>
      <c r="AR25" t="s">
        <v>369</v>
      </c>
      <c r="AS25">
        <v>17</v>
      </c>
      <c r="AT25" t="s">
        <v>349</v>
      </c>
      <c r="AU25" t="s">
        <v>367</v>
      </c>
      <c r="AV25" t="s">
        <v>367</v>
      </c>
      <c r="AW25" t="s">
        <v>367</v>
      </c>
      <c r="AX25" t="s">
        <v>367</v>
      </c>
      <c r="AY25" t="s">
        <v>367</v>
      </c>
      <c r="AZ25" t="s">
        <v>367</v>
      </c>
      <c r="BA25" t="s">
        <v>367</v>
      </c>
      <c r="BB25" t="s">
        <v>367</v>
      </c>
      <c r="BC25">
        <v>8.5</v>
      </c>
    </row>
    <row r="26" spans="1:55" ht="15" customHeight="1" x14ac:dyDescent="0.35">
      <c r="A26" t="s">
        <v>995</v>
      </c>
      <c r="B26" t="s">
        <v>1536</v>
      </c>
      <c r="C26" t="s">
        <v>54</v>
      </c>
      <c r="D26" t="s">
        <v>20</v>
      </c>
      <c r="E26">
        <v>2016</v>
      </c>
      <c r="F26" t="s">
        <v>55</v>
      </c>
      <c r="G26" t="s">
        <v>335</v>
      </c>
      <c r="H26" t="s">
        <v>335</v>
      </c>
      <c r="I26" t="s">
        <v>335</v>
      </c>
      <c r="J26" t="s">
        <v>339</v>
      </c>
      <c r="K26" t="s">
        <v>335</v>
      </c>
      <c r="L26" t="s">
        <v>335</v>
      </c>
      <c r="M26" t="s">
        <v>352</v>
      </c>
      <c r="N26" t="s">
        <v>352</v>
      </c>
      <c r="P26" t="s">
        <v>379</v>
      </c>
      <c r="Q26" t="s">
        <v>380</v>
      </c>
      <c r="R26" t="s">
        <v>1259</v>
      </c>
      <c r="S26" t="s">
        <v>381</v>
      </c>
      <c r="T26" t="s">
        <v>348</v>
      </c>
      <c r="U26" t="s">
        <v>344</v>
      </c>
      <c r="V26">
        <v>35.002760000000002</v>
      </c>
      <c r="W26">
        <v>-106.512062</v>
      </c>
      <c r="X26">
        <v>1678</v>
      </c>
      <c r="Y26" t="s">
        <v>382</v>
      </c>
      <c r="Z26" t="s">
        <v>383</v>
      </c>
      <c r="AA26" t="s">
        <v>1236</v>
      </c>
      <c r="AB26" t="s">
        <v>384</v>
      </c>
      <c r="AC26" t="s">
        <v>1241</v>
      </c>
      <c r="AD26" t="s">
        <v>385</v>
      </c>
      <c r="AE26" t="s">
        <v>345</v>
      </c>
      <c r="AF26">
        <v>0.08</v>
      </c>
      <c r="AG26" t="s">
        <v>346</v>
      </c>
      <c r="AH26" t="s">
        <v>346</v>
      </c>
      <c r="AI26" t="s">
        <v>346</v>
      </c>
      <c r="AJ26" t="s">
        <v>592</v>
      </c>
      <c r="AK26">
        <v>187</v>
      </c>
      <c r="AL26" t="s">
        <v>377</v>
      </c>
      <c r="AM26" t="s">
        <v>347</v>
      </c>
      <c r="AN26" t="s">
        <v>348</v>
      </c>
      <c r="AO26" t="s">
        <v>367</v>
      </c>
      <c r="AP26" t="s">
        <v>386</v>
      </c>
      <c r="AQ26" t="s">
        <v>368</v>
      </c>
      <c r="AR26" t="s">
        <v>369</v>
      </c>
      <c r="AS26">
        <v>48</v>
      </c>
      <c r="AT26" t="s">
        <v>367</v>
      </c>
      <c r="AU26" t="s">
        <v>367</v>
      </c>
      <c r="AV26" t="s">
        <v>367</v>
      </c>
      <c r="AW26" t="s">
        <v>349</v>
      </c>
      <c r="AX26" t="s">
        <v>367</v>
      </c>
      <c r="AY26" t="s">
        <v>349</v>
      </c>
      <c r="AZ26" t="s">
        <v>367</v>
      </c>
      <c r="BA26" t="s">
        <v>367</v>
      </c>
      <c r="BB26" t="s">
        <v>367</v>
      </c>
      <c r="BC26">
        <v>5</v>
      </c>
    </row>
    <row r="27" spans="1:55" ht="15" customHeight="1" x14ac:dyDescent="0.35">
      <c r="A27" t="s">
        <v>995</v>
      </c>
      <c r="B27" t="s">
        <v>1537</v>
      </c>
      <c r="C27" t="s">
        <v>56</v>
      </c>
      <c r="D27" t="s">
        <v>42</v>
      </c>
      <c r="E27" t="str">
        <f>"Jan2015"</f>
        <v>Jan2015</v>
      </c>
      <c r="F27" t="s">
        <v>57</v>
      </c>
      <c r="G27" t="s">
        <v>335</v>
      </c>
      <c r="H27" t="s">
        <v>335</v>
      </c>
      <c r="I27" t="s">
        <v>335</v>
      </c>
      <c r="J27" t="s">
        <v>339</v>
      </c>
      <c r="K27" t="s">
        <v>335</v>
      </c>
      <c r="L27" t="s">
        <v>335</v>
      </c>
      <c r="M27" t="s">
        <v>352</v>
      </c>
      <c r="N27" t="s">
        <v>335</v>
      </c>
      <c r="O27" t="s">
        <v>510</v>
      </c>
      <c r="P27" t="s">
        <v>387</v>
      </c>
      <c r="Q27" t="s">
        <v>388</v>
      </c>
      <c r="R27" t="s">
        <v>389</v>
      </c>
      <c r="S27" t="s">
        <v>390</v>
      </c>
      <c r="T27" t="s">
        <v>1235</v>
      </c>
      <c r="U27" t="s">
        <v>1239</v>
      </c>
      <c r="V27">
        <v>39.971986000000001</v>
      </c>
      <c r="W27">
        <v>-0.21689700000000001</v>
      </c>
      <c r="X27">
        <v>400</v>
      </c>
      <c r="Y27" t="s">
        <v>391</v>
      </c>
      <c r="Z27" t="s">
        <v>392</v>
      </c>
      <c r="AA27" t="s">
        <v>393</v>
      </c>
      <c r="AB27" t="s">
        <v>393</v>
      </c>
      <c r="AC27" t="s">
        <v>366</v>
      </c>
      <c r="AD27" t="s">
        <v>394</v>
      </c>
      <c r="AE27" t="s">
        <v>354</v>
      </c>
      <c r="AF27" t="s">
        <v>346</v>
      </c>
      <c r="AG27" t="s">
        <v>346</v>
      </c>
      <c r="AH27" t="s">
        <v>346</v>
      </c>
      <c r="AI27" t="s">
        <v>346</v>
      </c>
      <c r="AJ27" t="s">
        <v>346</v>
      </c>
      <c r="AK27">
        <v>215</v>
      </c>
      <c r="AL27" t="s">
        <v>521</v>
      </c>
      <c r="AM27" t="s">
        <v>339</v>
      </c>
      <c r="AN27" t="s">
        <v>348</v>
      </c>
      <c r="AO27" t="s">
        <v>367</v>
      </c>
      <c r="AP27" t="s">
        <v>350</v>
      </c>
      <c r="AQ27" t="s">
        <v>368</v>
      </c>
      <c r="AR27" t="s">
        <v>369</v>
      </c>
      <c r="AS27">
        <v>880</v>
      </c>
      <c r="AT27" t="s">
        <v>367</v>
      </c>
      <c r="AU27" t="s">
        <v>367</v>
      </c>
      <c r="AV27" t="s">
        <v>367</v>
      </c>
      <c r="AW27" t="s">
        <v>349</v>
      </c>
      <c r="AX27" t="s">
        <v>367</v>
      </c>
      <c r="AY27" t="s">
        <v>349</v>
      </c>
      <c r="AZ27" t="s">
        <v>367</v>
      </c>
      <c r="BA27" t="s">
        <v>367</v>
      </c>
      <c r="BB27" t="s">
        <v>367</v>
      </c>
      <c r="BC27">
        <v>2</v>
      </c>
    </row>
    <row r="28" spans="1:55" ht="15" customHeight="1" x14ac:dyDescent="0.35">
      <c r="A28" t="s">
        <v>995</v>
      </c>
      <c r="B28" t="s">
        <v>1538</v>
      </c>
      <c r="C28" t="s">
        <v>1701</v>
      </c>
      <c r="D28" t="s">
        <v>17</v>
      </c>
      <c r="E28">
        <v>2011</v>
      </c>
      <c r="F28" t="s">
        <v>58</v>
      </c>
      <c r="G28" t="s">
        <v>335</v>
      </c>
      <c r="H28" t="s">
        <v>335</v>
      </c>
      <c r="I28" t="s">
        <v>335</v>
      </c>
      <c r="J28" t="s">
        <v>339</v>
      </c>
      <c r="K28" t="s">
        <v>335</v>
      </c>
      <c r="L28" t="s">
        <v>335</v>
      </c>
      <c r="M28" t="s">
        <v>352</v>
      </c>
      <c r="N28" t="s">
        <v>352</v>
      </c>
      <c r="P28" t="s">
        <v>395</v>
      </c>
      <c r="Q28" t="s">
        <v>396</v>
      </c>
      <c r="R28" t="s">
        <v>397</v>
      </c>
      <c r="S28" t="s">
        <v>398</v>
      </c>
      <c r="T28" t="s">
        <v>348</v>
      </c>
      <c r="U28" t="s">
        <v>344</v>
      </c>
      <c r="V28">
        <v>25.3</v>
      </c>
      <c r="W28">
        <v>-80.400000000000006</v>
      </c>
      <c r="X28">
        <v>0</v>
      </c>
      <c r="Y28" t="s">
        <v>399</v>
      </c>
      <c r="Z28" t="s">
        <v>1260</v>
      </c>
      <c r="AA28" t="s">
        <v>1247</v>
      </c>
      <c r="AB28" t="s">
        <v>400</v>
      </c>
      <c r="AC28" t="s">
        <v>1237</v>
      </c>
      <c r="AD28" t="s">
        <v>1261</v>
      </c>
      <c r="AE28" t="s">
        <v>364</v>
      </c>
      <c r="AF28">
        <v>-33.466999999999999</v>
      </c>
      <c r="AG28">
        <v>4.8600000000000003</v>
      </c>
      <c r="AH28" t="s">
        <v>346</v>
      </c>
      <c r="AI28" t="s">
        <v>346</v>
      </c>
      <c r="AJ28" t="s">
        <v>592</v>
      </c>
      <c r="AK28">
        <v>315</v>
      </c>
      <c r="AL28" t="s">
        <v>377</v>
      </c>
      <c r="AM28" t="s">
        <v>347</v>
      </c>
      <c r="AN28" t="s">
        <v>348</v>
      </c>
      <c r="AO28" t="s">
        <v>367</v>
      </c>
      <c r="AP28" t="s">
        <v>386</v>
      </c>
      <c r="AQ28" t="s">
        <v>368</v>
      </c>
      <c r="AR28" t="s">
        <v>369</v>
      </c>
      <c r="AS28">
        <v>24</v>
      </c>
      <c r="AT28" t="s">
        <v>349</v>
      </c>
      <c r="AU28" t="s">
        <v>349</v>
      </c>
      <c r="AV28" t="s">
        <v>367</v>
      </c>
      <c r="AW28" t="s">
        <v>367</v>
      </c>
      <c r="AX28" t="s">
        <v>367</v>
      </c>
      <c r="AY28" t="s">
        <v>367</v>
      </c>
      <c r="AZ28" t="s">
        <v>367</v>
      </c>
      <c r="BA28" t="s">
        <v>367</v>
      </c>
      <c r="BB28" t="s">
        <v>367</v>
      </c>
      <c r="BC28">
        <v>3.5</v>
      </c>
    </row>
    <row r="29" spans="1:55" ht="15" customHeight="1" x14ac:dyDescent="0.35">
      <c r="A29" t="s">
        <v>995</v>
      </c>
      <c r="B29" t="s">
        <v>1539</v>
      </c>
      <c r="C29" t="s">
        <v>59</v>
      </c>
      <c r="D29" t="s">
        <v>60</v>
      </c>
      <c r="E29">
        <v>2016</v>
      </c>
      <c r="F29" t="s">
        <v>61</v>
      </c>
      <c r="G29" t="s">
        <v>335</v>
      </c>
      <c r="H29" t="s">
        <v>335</v>
      </c>
      <c r="I29" t="s">
        <v>335</v>
      </c>
      <c r="J29" t="s">
        <v>339</v>
      </c>
      <c r="K29" t="s">
        <v>335</v>
      </c>
      <c r="L29" t="s">
        <v>335</v>
      </c>
      <c r="M29" t="s">
        <v>352</v>
      </c>
      <c r="N29" t="s">
        <v>352</v>
      </c>
      <c r="P29" t="s">
        <v>475</v>
      </c>
      <c r="Q29" t="s">
        <v>491</v>
      </c>
      <c r="R29" t="s">
        <v>1262</v>
      </c>
      <c r="S29" t="s">
        <v>489</v>
      </c>
      <c r="T29" t="s">
        <v>1249</v>
      </c>
      <c r="U29" t="s">
        <v>471</v>
      </c>
      <c r="V29">
        <v>37.826349999999998</v>
      </c>
      <c r="W29">
        <v>-122.422529</v>
      </c>
      <c r="X29">
        <v>40</v>
      </c>
      <c r="Y29" t="s">
        <v>490</v>
      </c>
      <c r="Z29" t="s">
        <v>1263</v>
      </c>
      <c r="AA29" t="s">
        <v>1236</v>
      </c>
      <c r="AB29" t="s">
        <v>1257</v>
      </c>
      <c r="AC29" t="s">
        <v>366</v>
      </c>
      <c r="AD29" t="s">
        <v>1264</v>
      </c>
      <c r="AE29" t="s">
        <v>345</v>
      </c>
      <c r="AF29">
        <v>1.23</v>
      </c>
      <c r="AG29">
        <v>1.22</v>
      </c>
      <c r="AH29" t="s">
        <v>346</v>
      </c>
      <c r="AI29" t="s">
        <v>346</v>
      </c>
      <c r="AJ29" t="s">
        <v>513</v>
      </c>
      <c r="AK29">
        <v>80</v>
      </c>
      <c r="AL29" t="s">
        <v>377</v>
      </c>
      <c r="AM29" t="s">
        <v>346</v>
      </c>
      <c r="AN29" t="s">
        <v>348</v>
      </c>
      <c r="AO29" t="s">
        <v>367</v>
      </c>
      <c r="AP29" t="s">
        <v>492</v>
      </c>
      <c r="AQ29" t="s">
        <v>368</v>
      </c>
      <c r="AR29" t="s">
        <v>369</v>
      </c>
      <c r="AS29">
        <v>883</v>
      </c>
      <c r="AT29" t="s">
        <v>349</v>
      </c>
      <c r="AU29" t="s">
        <v>349</v>
      </c>
      <c r="AV29" t="s">
        <v>367</v>
      </c>
      <c r="AW29" t="s">
        <v>367</v>
      </c>
      <c r="AX29" t="s">
        <v>349</v>
      </c>
      <c r="AY29" t="s">
        <v>349</v>
      </c>
      <c r="AZ29" t="s">
        <v>349</v>
      </c>
      <c r="BA29" t="s">
        <v>349</v>
      </c>
      <c r="BB29" t="s">
        <v>367</v>
      </c>
      <c r="BC29">
        <v>3.5</v>
      </c>
    </row>
    <row r="30" spans="1:55" ht="15" customHeight="1" x14ac:dyDescent="0.35">
      <c r="A30" t="s">
        <v>1065</v>
      </c>
      <c r="B30" t="s">
        <v>1540</v>
      </c>
      <c r="C30" t="s">
        <v>1082</v>
      </c>
      <c r="D30" t="s">
        <v>84</v>
      </c>
      <c r="E30">
        <v>2022</v>
      </c>
      <c r="F30" t="s">
        <v>1083</v>
      </c>
      <c r="G30" t="s">
        <v>335</v>
      </c>
      <c r="H30" t="s">
        <v>335</v>
      </c>
      <c r="I30" t="s">
        <v>335</v>
      </c>
      <c r="J30" t="s">
        <v>339</v>
      </c>
      <c r="K30" t="s">
        <v>335</v>
      </c>
      <c r="L30" t="s">
        <v>335</v>
      </c>
      <c r="M30" t="s">
        <v>352</v>
      </c>
      <c r="N30" t="s">
        <v>335</v>
      </c>
      <c r="P30" t="s">
        <v>395</v>
      </c>
      <c r="Q30" t="s">
        <v>748</v>
      </c>
      <c r="R30" t="s">
        <v>749</v>
      </c>
      <c r="S30" t="s">
        <v>745</v>
      </c>
      <c r="T30" t="s">
        <v>348</v>
      </c>
      <c r="U30" t="s">
        <v>344</v>
      </c>
      <c r="V30">
        <v>44.58</v>
      </c>
      <c r="W30">
        <v>66.760000000000005</v>
      </c>
      <c r="X30">
        <v>25</v>
      </c>
      <c r="Y30" t="s">
        <v>1128</v>
      </c>
      <c r="AA30" t="s">
        <v>1265</v>
      </c>
      <c r="AB30" t="s">
        <v>1126</v>
      </c>
      <c r="AC30" t="s">
        <v>1241</v>
      </c>
      <c r="AD30" t="s">
        <v>1127</v>
      </c>
      <c r="AE30" t="s">
        <v>364</v>
      </c>
      <c r="AF30" t="s">
        <v>346</v>
      </c>
      <c r="AG30" t="s">
        <v>346</v>
      </c>
      <c r="AH30" t="s">
        <v>346</v>
      </c>
      <c r="AI30" t="s">
        <v>346</v>
      </c>
      <c r="AJ30" t="s">
        <v>339</v>
      </c>
      <c r="AK30">
        <v>612</v>
      </c>
      <c r="AL30" t="s">
        <v>477</v>
      </c>
      <c r="AM30" t="s">
        <v>347</v>
      </c>
      <c r="AN30" t="s">
        <v>348</v>
      </c>
      <c r="AO30" t="s">
        <v>349</v>
      </c>
      <c r="AP30" t="s">
        <v>386</v>
      </c>
      <c r="AQ30" t="s">
        <v>368</v>
      </c>
      <c r="AR30" t="s">
        <v>369</v>
      </c>
      <c r="AS30">
        <v>16</v>
      </c>
      <c r="AT30" t="s">
        <v>349</v>
      </c>
      <c r="AU30" t="s">
        <v>349</v>
      </c>
      <c r="AV30" t="s">
        <v>367</v>
      </c>
      <c r="AW30" t="s">
        <v>367</v>
      </c>
      <c r="AX30" t="s">
        <v>367</v>
      </c>
      <c r="AY30" t="s">
        <v>367</v>
      </c>
      <c r="AZ30" t="s">
        <v>367</v>
      </c>
      <c r="BA30" t="s">
        <v>367</v>
      </c>
      <c r="BB30" t="s">
        <v>367</v>
      </c>
      <c r="BC30">
        <v>4</v>
      </c>
    </row>
    <row r="31" spans="1:55" ht="15" customHeight="1" x14ac:dyDescent="0.35">
      <c r="A31" t="s">
        <v>995</v>
      </c>
      <c r="B31" t="s">
        <v>1541</v>
      </c>
      <c r="C31" t="s">
        <v>1051</v>
      </c>
      <c r="D31" t="s">
        <v>62</v>
      </c>
      <c r="E31">
        <v>2021</v>
      </c>
      <c r="F31" t="s">
        <v>1052</v>
      </c>
      <c r="G31" t="s">
        <v>335</v>
      </c>
      <c r="H31" t="s">
        <v>335</v>
      </c>
      <c r="I31" t="s">
        <v>335</v>
      </c>
      <c r="J31" t="s">
        <v>339</v>
      </c>
      <c r="K31" t="s">
        <v>335</v>
      </c>
      <c r="L31" t="s">
        <v>335</v>
      </c>
      <c r="M31" t="s">
        <v>352</v>
      </c>
      <c r="N31" t="s">
        <v>335</v>
      </c>
      <c r="P31" t="s">
        <v>494</v>
      </c>
      <c r="Q31" t="s">
        <v>495</v>
      </c>
      <c r="R31" t="s">
        <v>496</v>
      </c>
      <c r="S31" t="s">
        <v>493</v>
      </c>
      <c r="T31" t="s">
        <v>348</v>
      </c>
      <c r="U31" t="s">
        <v>344</v>
      </c>
      <c r="V31">
        <v>-21.172481000000001</v>
      </c>
      <c r="W31">
        <v>-44.18235</v>
      </c>
      <c r="X31">
        <v>1250</v>
      </c>
      <c r="Y31" t="s">
        <v>498</v>
      </c>
      <c r="Z31" t="s">
        <v>499</v>
      </c>
      <c r="AA31" t="s">
        <v>1247</v>
      </c>
      <c r="AB31" t="s">
        <v>400</v>
      </c>
      <c r="AC31" t="s">
        <v>1241</v>
      </c>
      <c r="AD31" t="s">
        <v>1258</v>
      </c>
      <c r="AE31" t="s">
        <v>354</v>
      </c>
      <c r="AF31" t="s">
        <v>346</v>
      </c>
      <c r="AG31" t="s">
        <v>346</v>
      </c>
      <c r="AH31" t="s">
        <v>346</v>
      </c>
      <c r="AI31" t="s">
        <v>346</v>
      </c>
      <c r="AJ31" t="s">
        <v>346</v>
      </c>
      <c r="AK31">
        <v>86</v>
      </c>
      <c r="AL31" t="s">
        <v>377</v>
      </c>
      <c r="AM31" t="s">
        <v>339</v>
      </c>
      <c r="AN31" t="s">
        <v>410</v>
      </c>
      <c r="AO31" t="s">
        <v>349</v>
      </c>
      <c r="AP31" t="s">
        <v>497</v>
      </c>
      <c r="AQ31" t="s">
        <v>368</v>
      </c>
      <c r="AR31" t="s">
        <v>369</v>
      </c>
      <c r="AS31">
        <v>18</v>
      </c>
      <c r="AT31" t="s">
        <v>349</v>
      </c>
      <c r="AU31" t="s">
        <v>367</v>
      </c>
      <c r="AV31" t="s">
        <v>367</v>
      </c>
      <c r="AW31" t="s">
        <v>367</v>
      </c>
      <c r="AX31" t="s">
        <v>367</v>
      </c>
      <c r="AY31" t="s">
        <v>367</v>
      </c>
      <c r="AZ31" t="s">
        <v>367</v>
      </c>
      <c r="BA31" t="s">
        <v>367</v>
      </c>
      <c r="BB31" t="s">
        <v>367</v>
      </c>
      <c r="BC31">
        <v>3</v>
      </c>
    </row>
    <row r="32" spans="1:55" ht="15" customHeight="1" x14ac:dyDescent="0.35">
      <c r="A32" t="s">
        <v>995</v>
      </c>
      <c r="B32" t="s">
        <v>1542</v>
      </c>
      <c r="C32" t="s">
        <v>63</v>
      </c>
      <c r="D32" t="s">
        <v>32</v>
      </c>
      <c r="E32">
        <v>2021</v>
      </c>
      <c r="F32" t="s">
        <v>64</v>
      </c>
      <c r="G32" t="s">
        <v>335</v>
      </c>
      <c r="H32" t="s">
        <v>335</v>
      </c>
      <c r="I32" t="s">
        <v>335</v>
      </c>
      <c r="J32" t="s">
        <v>339</v>
      </c>
      <c r="K32" t="s">
        <v>335</v>
      </c>
      <c r="L32" t="s">
        <v>335</v>
      </c>
      <c r="M32" t="s">
        <v>352</v>
      </c>
      <c r="N32" t="s">
        <v>352</v>
      </c>
      <c r="O32" t="s">
        <v>500</v>
      </c>
      <c r="P32" t="s">
        <v>526</v>
      </c>
      <c r="Q32" t="s">
        <v>523</v>
      </c>
      <c r="R32" t="s">
        <v>429</v>
      </c>
      <c r="S32" t="s">
        <v>522</v>
      </c>
      <c r="T32" t="s">
        <v>1266</v>
      </c>
      <c r="U32" t="s">
        <v>524</v>
      </c>
      <c r="V32">
        <v>40.443880999999998</v>
      </c>
      <c r="W32">
        <v>-3.72709</v>
      </c>
      <c r="X32">
        <v>650</v>
      </c>
      <c r="Y32" t="s">
        <v>525</v>
      </c>
      <c r="Z32" t="s">
        <v>1267</v>
      </c>
      <c r="AA32" t="s">
        <v>393</v>
      </c>
      <c r="AB32" t="s">
        <v>393</v>
      </c>
      <c r="AC32" t="s">
        <v>366</v>
      </c>
      <c r="AD32" t="s">
        <v>1041</v>
      </c>
      <c r="AE32" t="s">
        <v>364</v>
      </c>
      <c r="AF32">
        <v>-0.36599999999999999</v>
      </c>
      <c r="AG32" t="s">
        <v>346</v>
      </c>
      <c r="AH32" t="s">
        <v>346</v>
      </c>
      <c r="AI32" t="s">
        <v>346</v>
      </c>
      <c r="AJ32" t="s">
        <v>592</v>
      </c>
      <c r="AK32">
        <v>157</v>
      </c>
      <c r="AL32" t="s">
        <v>528</v>
      </c>
      <c r="AM32" t="s">
        <v>452</v>
      </c>
      <c r="AN32" t="s">
        <v>410</v>
      </c>
      <c r="AO32" t="s">
        <v>367</v>
      </c>
      <c r="AP32" t="s">
        <v>411</v>
      </c>
      <c r="AQ32" t="s">
        <v>368</v>
      </c>
      <c r="AR32" t="s">
        <v>369</v>
      </c>
      <c r="AS32">
        <v>23</v>
      </c>
      <c r="AT32" t="s">
        <v>349</v>
      </c>
      <c r="AU32" t="s">
        <v>349</v>
      </c>
      <c r="AV32" t="s">
        <v>367</v>
      </c>
      <c r="AW32" t="s">
        <v>367</v>
      </c>
      <c r="AX32" t="s">
        <v>367</v>
      </c>
      <c r="AY32" t="s">
        <v>367</v>
      </c>
      <c r="AZ32" t="s">
        <v>367</v>
      </c>
      <c r="BA32" t="s">
        <v>367</v>
      </c>
      <c r="BB32" t="s">
        <v>367</v>
      </c>
      <c r="BC32">
        <v>5</v>
      </c>
    </row>
    <row r="33" spans="1:55" ht="15" customHeight="1" x14ac:dyDescent="0.35">
      <c r="A33" t="s">
        <v>995</v>
      </c>
      <c r="B33" t="s">
        <v>1542</v>
      </c>
      <c r="C33" t="s">
        <v>63</v>
      </c>
      <c r="D33" t="s">
        <v>32</v>
      </c>
      <c r="E33">
        <v>2021</v>
      </c>
      <c r="F33" t="s">
        <v>64</v>
      </c>
      <c r="G33" t="s">
        <v>335</v>
      </c>
      <c r="H33" t="s">
        <v>335</v>
      </c>
      <c r="I33" t="s">
        <v>335</v>
      </c>
      <c r="J33" t="s">
        <v>339</v>
      </c>
      <c r="K33" t="s">
        <v>335</v>
      </c>
      <c r="L33" t="s">
        <v>335</v>
      </c>
      <c r="M33" t="s">
        <v>352</v>
      </c>
      <c r="N33" t="s">
        <v>352</v>
      </c>
      <c r="O33" t="s">
        <v>500</v>
      </c>
      <c r="P33" t="s">
        <v>526</v>
      </c>
      <c r="Q33" t="s">
        <v>523</v>
      </c>
      <c r="R33" t="s">
        <v>429</v>
      </c>
      <c r="S33" t="s">
        <v>522</v>
      </c>
      <c r="T33" t="s">
        <v>1266</v>
      </c>
      <c r="U33" t="s">
        <v>524</v>
      </c>
      <c r="V33">
        <v>40.443880999999998</v>
      </c>
      <c r="W33">
        <v>-3.72709</v>
      </c>
      <c r="X33">
        <v>650</v>
      </c>
      <c r="Y33" t="s">
        <v>525</v>
      </c>
      <c r="Z33" t="s">
        <v>1268</v>
      </c>
      <c r="AA33" t="s">
        <v>393</v>
      </c>
      <c r="AB33" t="s">
        <v>393</v>
      </c>
      <c r="AC33" t="s">
        <v>366</v>
      </c>
      <c r="AD33" t="s">
        <v>1173</v>
      </c>
      <c r="AE33" t="s">
        <v>345</v>
      </c>
      <c r="AF33">
        <v>0.27</v>
      </c>
      <c r="AG33" t="s">
        <v>346</v>
      </c>
      <c r="AH33" t="s">
        <v>346</v>
      </c>
      <c r="AI33" t="s">
        <v>346</v>
      </c>
      <c r="AJ33" t="s">
        <v>592</v>
      </c>
      <c r="AK33">
        <v>157</v>
      </c>
      <c r="AL33" t="s">
        <v>529</v>
      </c>
      <c r="AM33" t="s">
        <v>347</v>
      </c>
      <c r="AN33" t="s">
        <v>410</v>
      </c>
      <c r="AO33" t="s">
        <v>367</v>
      </c>
      <c r="AP33" t="s">
        <v>411</v>
      </c>
      <c r="AQ33" t="s">
        <v>368</v>
      </c>
      <c r="AR33" t="s">
        <v>369</v>
      </c>
      <c r="AS33">
        <v>23</v>
      </c>
      <c r="AT33" t="s">
        <v>349</v>
      </c>
      <c r="AU33" t="s">
        <v>349</v>
      </c>
      <c r="AV33" t="s">
        <v>367</v>
      </c>
      <c r="AW33" t="s">
        <v>367</v>
      </c>
      <c r="AX33" t="s">
        <v>367</v>
      </c>
      <c r="AY33" t="s">
        <v>367</v>
      </c>
      <c r="AZ33" t="s">
        <v>367</v>
      </c>
      <c r="BA33" t="s">
        <v>367</v>
      </c>
      <c r="BB33" t="s">
        <v>367</v>
      </c>
      <c r="BC33">
        <v>5</v>
      </c>
    </row>
    <row r="34" spans="1:55" ht="15" customHeight="1" x14ac:dyDescent="0.35">
      <c r="A34" t="s">
        <v>995</v>
      </c>
      <c r="B34" t="s">
        <v>1543</v>
      </c>
      <c r="C34" t="s">
        <v>66</v>
      </c>
      <c r="D34" t="s">
        <v>67</v>
      </c>
      <c r="E34">
        <v>2017</v>
      </c>
      <c r="F34" t="s">
        <v>1137</v>
      </c>
      <c r="G34" t="s">
        <v>335</v>
      </c>
      <c r="H34" t="s">
        <v>335</v>
      </c>
      <c r="I34" t="s">
        <v>335</v>
      </c>
      <c r="J34" t="s">
        <v>339</v>
      </c>
      <c r="K34" t="s">
        <v>335</v>
      </c>
      <c r="L34" t="s">
        <v>335</v>
      </c>
      <c r="M34" t="s">
        <v>352</v>
      </c>
      <c r="N34" t="s">
        <v>335</v>
      </c>
      <c r="O34" t="s">
        <v>501</v>
      </c>
      <c r="P34" t="s">
        <v>401</v>
      </c>
      <c r="Q34" t="s">
        <v>402</v>
      </c>
      <c r="R34" t="s">
        <v>403</v>
      </c>
      <c r="S34" t="s">
        <v>404</v>
      </c>
      <c r="T34" t="s">
        <v>348</v>
      </c>
      <c r="U34" t="s">
        <v>344</v>
      </c>
      <c r="V34">
        <v>35.926172000000001</v>
      </c>
      <c r="W34">
        <v>-99.655805000000001</v>
      </c>
      <c r="X34">
        <v>670</v>
      </c>
      <c r="Y34" t="s">
        <v>405</v>
      </c>
      <c r="Z34" t="s">
        <v>1269</v>
      </c>
      <c r="AA34" t="s">
        <v>1247</v>
      </c>
      <c r="AB34" t="s">
        <v>400</v>
      </c>
      <c r="AC34" t="s">
        <v>1237</v>
      </c>
      <c r="AD34" t="s">
        <v>1270</v>
      </c>
      <c r="AE34" t="s">
        <v>354</v>
      </c>
      <c r="AF34" t="s">
        <v>346</v>
      </c>
      <c r="AG34" t="s">
        <v>346</v>
      </c>
      <c r="AH34" t="s">
        <v>346</v>
      </c>
      <c r="AI34" t="s">
        <v>346</v>
      </c>
      <c r="AJ34" t="s">
        <v>346</v>
      </c>
      <c r="AK34">
        <v>157</v>
      </c>
      <c r="AL34" t="s">
        <v>377</v>
      </c>
      <c r="AM34" t="s">
        <v>339</v>
      </c>
      <c r="AN34" t="s">
        <v>348</v>
      </c>
      <c r="AO34" t="s">
        <v>349</v>
      </c>
      <c r="AP34" t="s">
        <v>355</v>
      </c>
      <c r="AQ34" t="s">
        <v>351</v>
      </c>
      <c r="AR34" t="s">
        <v>369</v>
      </c>
      <c r="AS34">
        <v>155</v>
      </c>
      <c r="AT34" t="s">
        <v>349</v>
      </c>
      <c r="AU34" t="s">
        <v>349</v>
      </c>
      <c r="AV34" t="s">
        <v>367</v>
      </c>
      <c r="AW34" t="s">
        <v>367</v>
      </c>
      <c r="AX34" t="s">
        <v>367</v>
      </c>
      <c r="AY34" t="s">
        <v>367</v>
      </c>
      <c r="AZ34" t="s">
        <v>367</v>
      </c>
      <c r="BA34" t="s">
        <v>367</v>
      </c>
      <c r="BB34" t="s">
        <v>367</v>
      </c>
      <c r="BC34">
        <v>13</v>
      </c>
    </row>
    <row r="35" spans="1:55" ht="15" customHeight="1" x14ac:dyDescent="0.35">
      <c r="A35" t="s">
        <v>995</v>
      </c>
      <c r="B35" t="s">
        <v>1544</v>
      </c>
      <c r="C35" t="s">
        <v>68</v>
      </c>
      <c r="D35" t="s">
        <v>69</v>
      </c>
      <c r="E35">
        <v>2019</v>
      </c>
      <c r="F35" t="s">
        <v>70</v>
      </c>
      <c r="G35" t="s">
        <v>335</v>
      </c>
      <c r="H35" t="s">
        <v>335</v>
      </c>
      <c r="I35" t="s">
        <v>335</v>
      </c>
      <c r="J35" t="s">
        <v>339</v>
      </c>
      <c r="K35" t="s">
        <v>335</v>
      </c>
      <c r="L35" t="s">
        <v>335</v>
      </c>
      <c r="M35" t="s">
        <v>352</v>
      </c>
      <c r="N35" t="s">
        <v>352</v>
      </c>
      <c r="P35" t="s">
        <v>534</v>
      </c>
      <c r="Q35" t="s">
        <v>530</v>
      </c>
      <c r="R35" t="s">
        <v>531</v>
      </c>
      <c r="S35" t="s">
        <v>533</v>
      </c>
      <c r="T35" t="s">
        <v>348</v>
      </c>
      <c r="U35" t="s">
        <v>344</v>
      </c>
      <c r="V35">
        <v>-24.16</v>
      </c>
      <c r="W35">
        <v>31.18</v>
      </c>
      <c r="X35">
        <v>420</v>
      </c>
      <c r="Y35" t="s">
        <v>536</v>
      </c>
      <c r="Z35" t="s">
        <v>537</v>
      </c>
      <c r="AA35" t="s">
        <v>1236</v>
      </c>
      <c r="AB35" t="s">
        <v>457</v>
      </c>
      <c r="AC35" t="s">
        <v>1241</v>
      </c>
      <c r="AD35" t="s">
        <v>1258</v>
      </c>
      <c r="AE35" t="s">
        <v>345</v>
      </c>
      <c r="AF35">
        <v>0.89</v>
      </c>
      <c r="AG35" t="s">
        <v>346</v>
      </c>
      <c r="AH35">
        <v>0.75</v>
      </c>
      <c r="AI35">
        <v>1.05</v>
      </c>
      <c r="AJ35" t="s">
        <v>538</v>
      </c>
      <c r="AK35">
        <v>31</v>
      </c>
      <c r="AL35" t="s">
        <v>377</v>
      </c>
      <c r="AM35" t="s">
        <v>347</v>
      </c>
      <c r="AN35" t="s">
        <v>410</v>
      </c>
      <c r="AO35" t="s">
        <v>367</v>
      </c>
      <c r="AP35" t="s">
        <v>411</v>
      </c>
      <c r="AQ35" t="s">
        <v>368</v>
      </c>
      <c r="AR35" t="s">
        <v>535</v>
      </c>
      <c r="AS35">
        <v>4205</v>
      </c>
      <c r="AT35" t="s">
        <v>349</v>
      </c>
      <c r="AU35" t="s">
        <v>367</v>
      </c>
      <c r="AV35" t="s">
        <v>367</v>
      </c>
      <c r="AW35" t="s">
        <v>367</v>
      </c>
      <c r="AX35" t="s">
        <v>367</v>
      </c>
      <c r="AY35" t="s">
        <v>367</v>
      </c>
      <c r="AZ35" t="s">
        <v>349</v>
      </c>
      <c r="BA35" t="s">
        <v>367</v>
      </c>
      <c r="BB35" t="s">
        <v>367</v>
      </c>
      <c r="BC35">
        <v>2</v>
      </c>
    </row>
    <row r="36" spans="1:55" ht="15" customHeight="1" x14ac:dyDescent="0.35">
      <c r="A36" t="s">
        <v>995</v>
      </c>
      <c r="B36" t="s">
        <v>1544</v>
      </c>
      <c r="C36" t="s">
        <v>68</v>
      </c>
      <c r="D36" t="s">
        <v>69</v>
      </c>
      <c r="E36">
        <v>2019</v>
      </c>
      <c r="F36" t="s">
        <v>70</v>
      </c>
      <c r="G36" t="s">
        <v>335</v>
      </c>
      <c r="H36" t="s">
        <v>335</v>
      </c>
      <c r="I36" t="s">
        <v>335</v>
      </c>
      <c r="J36" t="s">
        <v>339</v>
      </c>
      <c r="K36" t="s">
        <v>335</v>
      </c>
      <c r="L36" t="s">
        <v>335</v>
      </c>
      <c r="M36" t="s">
        <v>352</v>
      </c>
      <c r="N36" t="s">
        <v>352</v>
      </c>
      <c r="P36" t="s">
        <v>534</v>
      </c>
      <c r="Q36" t="s">
        <v>530</v>
      </c>
      <c r="R36" t="s">
        <v>531</v>
      </c>
      <c r="S36" t="s">
        <v>533</v>
      </c>
      <c r="T36" t="s">
        <v>348</v>
      </c>
      <c r="U36" t="s">
        <v>344</v>
      </c>
      <c r="V36">
        <v>-24.16</v>
      </c>
      <c r="W36">
        <v>31.18</v>
      </c>
      <c r="X36">
        <v>420</v>
      </c>
      <c r="Y36" t="s">
        <v>536</v>
      </c>
      <c r="Z36" t="s">
        <v>1271</v>
      </c>
      <c r="AA36" t="s">
        <v>1236</v>
      </c>
      <c r="AB36" t="s">
        <v>457</v>
      </c>
      <c r="AC36" t="s">
        <v>1241</v>
      </c>
      <c r="AD36" t="s">
        <v>1248</v>
      </c>
      <c r="AE36" t="s">
        <v>345</v>
      </c>
      <c r="AF36">
        <v>1.03</v>
      </c>
      <c r="AG36" t="s">
        <v>346</v>
      </c>
      <c r="AH36">
        <v>0.75</v>
      </c>
      <c r="AI36">
        <v>1.42</v>
      </c>
      <c r="AJ36" t="s">
        <v>538</v>
      </c>
      <c r="AK36">
        <v>31</v>
      </c>
      <c r="AL36" t="s">
        <v>377</v>
      </c>
      <c r="AM36" t="s">
        <v>347</v>
      </c>
      <c r="AN36" t="s">
        <v>410</v>
      </c>
      <c r="AO36" t="s">
        <v>367</v>
      </c>
      <c r="AP36" t="s">
        <v>411</v>
      </c>
      <c r="AQ36" t="s">
        <v>368</v>
      </c>
      <c r="AR36" t="s">
        <v>535</v>
      </c>
      <c r="AS36">
        <v>4205</v>
      </c>
      <c r="AT36" t="s">
        <v>349</v>
      </c>
      <c r="AU36" t="s">
        <v>367</v>
      </c>
      <c r="AV36" t="s">
        <v>367</v>
      </c>
      <c r="AW36" t="s">
        <v>367</v>
      </c>
      <c r="AX36" t="s">
        <v>367</v>
      </c>
      <c r="AY36" t="s">
        <v>367</v>
      </c>
      <c r="AZ36" t="s">
        <v>349</v>
      </c>
      <c r="BA36" t="s">
        <v>367</v>
      </c>
      <c r="BB36" t="s">
        <v>367</v>
      </c>
      <c r="BC36">
        <v>2</v>
      </c>
    </row>
    <row r="37" spans="1:55" ht="15" customHeight="1" x14ac:dyDescent="0.35">
      <c r="A37" t="s">
        <v>995</v>
      </c>
      <c r="B37" t="s">
        <v>1545</v>
      </c>
      <c r="C37" t="s">
        <v>71</v>
      </c>
      <c r="D37" t="s">
        <v>47</v>
      </c>
      <c r="E37">
        <v>2011</v>
      </c>
      <c r="F37" t="s">
        <v>72</v>
      </c>
      <c r="G37" t="s">
        <v>335</v>
      </c>
      <c r="H37" t="s">
        <v>335</v>
      </c>
      <c r="I37" t="s">
        <v>335</v>
      </c>
      <c r="J37" t="s">
        <v>339</v>
      </c>
      <c r="K37" t="s">
        <v>335</v>
      </c>
      <c r="L37" t="s">
        <v>335</v>
      </c>
      <c r="M37" t="s">
        <v>352</v>
      </c>
      <c r="N37" t="s">
        <v>352</v>
      </c>
      <c r="P37" t="s">
        <v>541</v>
      </c>
      <c r="Q37" t="s">
        <v>539</v>
      </c>
      <c r="R37" t="s">
        <v>540</v>
      </c>
      <c r="S37" t="s">
        <v>1512</v>
      </c>
      <c r="T37" t="s">
        <v>1235</v>
      </c>
      <c r="U37" t="s">
        <v>639</v>
      </c>
      <c r="V37">
        <v>28.583814</v>
      </c>
      <c r="W37">
        <v>-80.651112999999995</v>
      </c>
      <c r="X37">
        <v>3</v>
      </c>
      <c r="Y37" t="s">
        <v>542</v>
      </c>
      <c r="Z37" t="s">
        <v>543</v>
      </c>
      <c r="AA37" t="s">
        <v>1247</v>
      </c>
      <c r="AB37" t="s">
        <v>400</v>
      </c>
      <c r="AC37" t="s">
        <v>1241</v>
      </c>
      <c r="AD37" t="s">
        <v>544</v>
      </c>
      <c r="AE37" t="s">
        <v>364</v>
      </c>
      <c r="AF37">
        <v>-8.0000000000000002E-3</v>
      </c>
      <c r="AG37">
        <v>3.0000000000000001E-3</v>
      </c>
      <c r="AH37" t="s">
        <v>346</v>
      </c>
      <c r="AI37" t="s">
        <v>346</v>
      </c>
      <c r="AJ37" t="s">
        <v>592</v>
      </c>
      <c r="AK37">
        <v>614</v>
      </c>
      <c r="AL37" t="s">
        <v>377</v>
      </c>
      <c r="AM37" t="s">
        <v>347</v>
      </c>
      <c r="AN37" t="s">
        <v>348</v>
      </c>
      <c r="AO37" t="s">
        <v>367</v>
      </c>
      <c r="AP37" t="s">
        <v>386</v>
      </c>
      <c r="AQ37" t="s">
        <v>368</v>
      </c>
      <c r="AR37" t="s">
        <v>545</v>
      </c>
      <c r="AS37">
        <v>80</v>
      </c>
      <c r="AT37" t="s">
        <v>349</v>
      </c>
      <c r="AU37" t="s">
        <v>349</v>
      </c>
      <c r="AV37" t="s">
        <v>367</v>
      </c>
      <c r="AW37" t="s">
        <v>367</v>
      </c>
      <c r="AX37" t="s">
        <v>367</v>
      </c>
      <c r="AY37" t="s">
        <v>367</v>
      </c>
      <c r="AZ37" t="s">
        <v>367</v>
      </c>
      <c r="BA37" t="s">
        <v>367</v>
      </c>
      <c r="BB37" t="s">
        <v>367</v>
      </c>
      <c r="BC37">
        <v>3</v>
      </c>
    </row>
    <row r="38" spans="1:55" ht="15" customHeight="1" x14ac:dyDescent="0.35">
      <c r="A38" t="s">
        <v>995</v>
      </c>
      <c r="B38" t="s">
        <v>1546</v>
      </c>
      <c r="C38" t="s">
        <v>73</v>
      </c>
      <c r="D38" t="s">
        <v>74</v>
      </c>
      <c r="E38">
        <v>2014</v>
      </c>
      <c r="F38" t="s">
        <v>75</v>
      </c>
      <c r="G38" t="s">
        <v>335</v>
      </c>
      <c r="H38" t="s">
        <v>335</v>
      </c>
      <c r="I38" t="s">
        <v>335</v>
      </c>
      <c r="J38" t="s">
        <v>339</v>
      </c>
      <c r="K38" t="s">
        <v>335</v>
      </c>
      <c r="L38" t="s">
        <v>335</v>
      </c>
      <c r="M38" t="s">
        <v>352</v>
      </c>
      <c r="N38" t="s">
        <v>352</v>
      </c>
      <c r="P38" t="s">
        <v>357</v>
      </c>
      <c r="Q38" t="s">
        <v>358</v>
      </c>
      <c r="R38" t="s">
        <v>407</v>
      </c>
      <c r="S38" t="s">
        <v>1272</v>
      </c>
      <c r="T38" t="s">
        <v>1235</v>
      </c>
      <c r="U38" t="s">
        <v>665</v>
      </c>
      <c r="V38">
        <v>-20.3</v>
      </c>
      <c r="W38">
        <v>57.7</v>
      </c>
      <c r="X38">
        <v>313</v>
      </c>
      <c r="Y38" t="s">
        <v>409</v>
      </c>
      <c r="Z38" t="s">
        <v>1273</v>
      </c>
      <c r="AA38" t="s">
        <v>1236</v>
      </c>
      <c r="AB38" t="s">
        <v>457</v>
      </c>
      <c r="AC38" t="s">
        <v>1241</v>
      </c>
      <c r="AD38" t="s">
        <v>1274</v>
      </c>
      <c r="AE38" t="s">
        <v>345</v>
      </c>
      <c r="AF38">
        <v>2.5000000000000001E-2</v>
      </c>
      <c r="AG38">
        <v>1.2E-2</v>
      </c>
      <c r="AH38" t="s">
        <v>346</v>
      </c>
      <c r="AI38" t="s">
        <v>346</v>
      </c>
      <c r="AJ38" t="s">
        <v>592</v>
      </c>
      <c r="AK38">
        <v>313</v>
      </c>
      <c r="AL38" t="s">
        <v>527</v>
      </c>
      <c r="AM38" t="s">
        <v>347</v>
      </c>
      <c r="AN38" t="s">
        <v>410</v>
      </c>
      <c r="AO38" t="s">
        <v>367</v>
      </c>
      <c r="AP38" t="s">
        <v>411</v>
      </c>
      <c r="AQ38" t="s">
        <v>368</v>
      </c>
      <c r="AR38" t="s">
        <v>369</v>
      </c>
      <c r="AS38">
        <v>177</v>
      </c>
      <c r="AT38" t="s">
        <v>349</v>
      </c>
      <c r="AU38" t="s">
        <v>367</v>
      </c>
      <c r="AV38" t="s">
        <v>367</v>
      </c>
      <c r="AW38" t="s">
        <v>349</v>
      </c>
      <c r="AX38" t="s">
        <v>367</v>
      </c>
      <c r="AY38" t="s">
        <v>349</v>
      </c>
      <c r="AZ38" t="s">
        <v>367</v>
      </c>
      <c r="BA38" t="s">
        <v>367</v>
      </c>
      <c r="BB38" t="s">
        <v>367</v>
      </c>
      <c r="BC38">
        <v>3</v>
      </c>
    </row>
    <row r="39" spans="1:55" ht="15" customHeight="1" x14ac:dyDescent="0.35">
      <c r="A39" t="s">
        <v>995</v>
      </c>
      <c r="B39" t="s">
        <v>76</v>
      </c>
      <c r="C39" t="s">
        <v>77</v>
      </c>
      <c r="D39" t="s">
        <v>78</v>
      </c>
      <c r="E39">
        <v>2012</v>
      </c>
      <c r="F39" t="s">
        <v>79</v>
      </c>
      <c r="G39" t="s">
        <v>335</v>
      </c>
      <c r="H39" t="s">
        <v>335</v>
      </c>
      <c r="I39" t="s">
        <v>335</v>
      </c>
      <c r="J39" t="s">
        <v>339</v>
      </c>
      <c r="K39" t="s">
        <v>335</v>
      </c>
      <c r="L39" t="s">
        <v>335</v>
      </c>
      <c r="M39" t="s">
        <v>352</v>
      </c>
      <c r="N39" t="s">
        <v>335</v>
      </c>
      <c r="O39" t="s">
        <v>551</v>
      </c>
      <c r="P39" t="s">
        <v>549</v>
      </c>
      <c r="Q39" t="s">
        <v>548</v>
      </c>
      <c r="R39" t="s">
        <v>532</v>
      </c>
      <c r="S39" t="s">
        <v>547</v>
      </c>
      <c r="T39" t="s">
        <v>1235</v>
      </c>
      <c r="U39" t="s">
        <v>1239</v>
      </c>
      <c r="V39">
        <v>52.305580999999997</v>
      </c>
      <c r="W39">
        <v>-1.4376640000000001</v>
      </c>
      <c r="X39">
        <v>162</v>
      </c>
      <c r="Y39" t="s">
        <v>550</v>
      </c>
      <c r="AA39" t="s">
        <v>1247</v>
      </c>
      <c r="AB39" t="s">
        <v>1253</v>
      </c>
      <c r="AC39" t="s">
        <v>366</v>
      </c>
      <c r="AD39" t="s">
        <v>433</v>
      </c>
      <c r="AE39" t="s">
        <v>364</v>
      </c>
      <c r="AF39">
        <v>23.66</v>
      </c>
      <c r="AG39" t="s">
        <v>346</v>
      </c>
      <c r="AH39" t="s">
        <v>346</v>
      </c>
      <c r="AI39" t="s">
        <v>346</v>
      </c>
      <c r="AJ39" t="s">
        <v>546</v>
      </c>
      <c r="AK39">
        <v>27</v>
      </c>
      <c r="AL39" t="s">
        <v>377</v>
      </c>
      <c r="AM39" t="s">
        <v>347</v>
      </c>
      <c r="AN39" t="s">
        <v>410</v>
      </c>
      <c r="AO39" t="s">
        <v>367</v>
      </c>
      <c r="AP39" t="s">
        <v>411</v>
      </c>
      <c r="AQ39" t="s">
        <v>368</v>
      </c>
      <c r="AR39" t="s">
        <v>369</v>
      </c>
      <c r="AS39">
        <v>23</v>
      </c>
      <c r="AT39" t="s">
        <v>349</v>
      </c>
      <c r="AU39" t="s">
        <v>367</v>
      </c>
      <c r="AV39" t="s">
        <v>367</v>
      </c>
      <c r="AW39" t="s">
        <v>367</v>
      </c>
      <c r="AX39" t="s">
        <v>367</v>
      </c>
      <c r="AY39" t="s">
        <v>367</v>
      </c>
      <c r="AZ39" t="s">
        <v>367</v>
      </c>
      <c r="BA39" t="s">
        <v>367</v>
      </c>
      <c r="BB39" t="s">
        <v>367</v>
      </c>
      <c r="BC39">
        <v>5.5</v>
      </c>
    </row>
    <row r="40" spans="1:55" ht="15" customHeight="1" x14ac:dyDescent="0.35">
      <c r="A40" t="s">
        <v>995</v>
      </c>
      <c r="B40" t="s">
        <v>1547</v>
      </c>
      <c r="C40" t="s">
        <v>80</v>
      </c>
      <c r="D40" t="s">
        <v>81</v>
      </c>
      <c r="E40" t="s">
        <v>82</v>
      </c>
      <c r="G40" t="s">
        <v>335</v>
      </c>
      <c r="H40" t="s">
        <v>335</v>
      </c>
      <c r="I40" t="s">
        <v>335</v>
      </c>
      <c r="J40" t="s">
        <v>339</v>
      </c>
      <c r="K40" t="s">
        <v>335</v>
      </c>
      <c r="L40" t="s">
        <v>335</v>
      </c>
      <c r="M40" t="s">
        <v>352</v>
      </c>
      <c r="N40" t="s">
        <v>335</v>
      </c>
      <c r="P40" t="s">
        <v>357</v>
      </c>
      <c r="Q40" t="s">
        <v>358</v>
      </c>
      <c r="R40" t="s">
        <v>552</v>
      </c>
      <c r="S40" t="s">
        <v>553</v>
      </c>
      <c r="T40" t="s">
        <v>348</v>
      </c>
      <c r="U40" t="s">
        <v>344</v>
      </c>
      <c r="V40">
        <v>32.299999999999997</v>
      </c>
      <c r="W40">
        <v>35.299999999999997</v>
      </c>
      <c r="X40">
        <v>200</v>
      </c>
      <c r="Y40" t="s">
        <v>554</v>
      </c>
      <c r="Z40" t="s">
        <v>556</v>
      </c>
      <c r="AA40" t="s">
        <v>1236</v>
      </c>
      <c r="AB40" t="s">
        <v>512</v>
      </c>
      <c r="AC40" t="s">
        <v>1237</v>
      </c>
      <c r="AD40" t="s">
        <v>1261</v>
      </c>
      <c r="AE40" t="s">
        <v>364</v>
      </c>
      <c r="AF40">
        <v>-0.94</v>
      </c>
      <c r="AG40" t="s">
        <v>346</v>
      </c>
      <c r="AH40" t="s">
        <v>346</v>
      </c>
      <c r="AI40" t="s">
        <v>346</v>
      </c>
      <c r="AJ40" t="s">
        <v>555</v>
      </c>
      <c r="AK40">
        <v>95</v>
      </c>
      <c r="AL40" t="s">
        <v>377</v>
      </c>
      <c r="AM40" t="s">
        <v>366</v>
      </c>
      <c r="AN40" t="s">
        <v>410</v>
      </c>
      <c r="AO40" t="s">
        <v>367</v>
      </c>
      <c r="AP40" t="s">
        <v>411</v>
      </c>
      <c r="AQ40" t="s">
        <v>368</v>
      </c>
      <c r="AR40" t="s">
        <v>369</v>
      </c>
      <c r="AS40">
        <v>225</v>
      </c>
      <c r="AT40" t="s">
        <v>349</v>
      </c>
      <c r="AU40" t="s">
        <v>367</v>
      </c>
      <c r="AV40" t="s">
        <v>367</v>
      </c>
      <c r="AW40" t="s">
        <v>349</v>
      </c>
      <c r="AX40" t="s">
        <v>367</v>
      </c>
      <c r="AY40" t="s">
        <v>349</v>
      </c>
      <c r="AZ40" t="s">
        <v>349</v>
      </c>
      <c r="BA40" t="s">
        <v>367</v>
      </c>
      <c r="BB40" t="s">
        <v>367</v>
      </c>
      <c r="BC40">
        <v>4.5</v>
      </c>
    </row>
    <row r="41" spans="1:55" ht="15" customHeight="1" x14ac:dyDescent="0.35">
      <c r="A41" t="s">
        <v>995</v>
      </c>
      <c r="B41" t="s">
        <v>1547</v>
      </c>
      <c r="C41" t="s">
        <v>80</v>
      </c>
      <c r="D41" t="s">
        <v>81</v>
      </c>
      <c r="E41" t="s">
        <v>82</v>
      </c>
      <c r="G41" t="s">
        <v>335</v>
      </c>
      <c r="H41" t="s">
        <v>335</v>
      </c>
      <c r="I41" t="s">
        <v>335</v>
      </c>
      <c r="J41" t="s">
        <v>339</v>
      </c>
      <c r="K41" t="s">
        <v>335</v>
      </c>
      <c r="L41" t="s">
        <v>335</v>
      </c>
      <c r="M41" t="s">
        <v>352</v>
      </c>
      <c r="N41" t="s">
        <v>335</v>
      </c>
      <c r="P41" t="s">
        <v>357</v>
      </c>
      <c r="Q41" t="s">
        <v>358</v>
      </c>
      <c r="R41" t="s">
        <v>552</v>
      </c>
      <c r="S41" t="s">
        <v>553</v>
      </c>
      <c r="T41" t="s">
        <v>348</v>
      </c>
      <c r="U41" t="s">
        <v>344</v>
      </c>
      <c r="V41">
        <v>32.299999999999997</v>
      </c>
      <c r="W41">
        <v>35.299999999999997</v>
      </c>
      <c r="X41">
        <v>200</v>
      </c>
      <c r="Y41" t="s">
        <v>554</v>
      </c>
      <c r="AA41" t="s">
        <v>393</v>
      </c>
      <c r="AB41" t="s">
        <v>393</v>
      </c>
      <c r="AC41" t="s">
        <v>1237</v>
      </c>
      <c r="AD41" t="s">
        <v>1261</v>
      </c>
      <c r="AE41" t="s">
        <v>364</v>
      </c>
      <c r="AF41">
        <v>-0.89</v>
      </c>
      <c r="AG41" t="s">
        <v>346</v>
      </c>
      <c r="AH41" t="s">
        <v>346</v>
      </c>
      <c r="AI41" t="s">
        <v>346</v>
      </c>
      <c r="AJ41" t="s">
        <v>555</v>
      </c>
      <c r="AK41">
        <v>95</v>
      </c>
      <c r="AL41" t="s">
        <v>377</v>
      </c>
      <c r="AM41" t="s">
        <v>366</v>
      </c>
      <c r="AN41" t="s">
        <v>410</v>
      </c>
      <c r="AO41" t="s">
        <v>367</v>
      </c>
      <c r="AP41" t="s">
        <v>411</v>
      </c>
      <c r="AQ41" t="s">
        <v>368</v>
      </c>
      <c r="AR41" t="s">
        <v>369</v>
      </c>
      <c r="AS41">
        <v>225</v>
      </c>
      <c r="AT41" t="s">
        <v>349</v>
      </c>
      <c r="AU41" t="s">
        <v>367</v>
      </c>
      <c r="AV41" t="s">
        <v>367</v>
      </c>
      <c r="AW41" t="s">
        <v>349</v>
      </c>
      <c r="AX41" t="s">
        <v>367</v>
      </c>
      <c r="AY41" t="s">
        <v>349</v>
      </c>
      <c r="AZ41" t="s">
        <v>349</v>
      </c>
      <c r="BA41" t="s">
        <v>367</v>
      </c>
      <c r="BB41" t="s">
        <v>367</v>
      </c>
      <c r="BC41">
        <v>4.5</v>
      </c>
    </row>
    <row r="42" spans="1:55" ht="15" customHeight="1" x14ac:dyDescent="0.35">
      <c r="A42" t="s">
        <v>1065</v>
      </c>
      <c r="B42" t="s">
        <v>1548</v>
      </c>
      <c r="C42" t="s">
        <v>1066</v>
      </c>
      <c r="D42" t="s">
        <v>49</v>
      </c>
      <c r="E42">
        <v>2018</v>
      </c>
      <c r="F42" t="s">
        <v>1067</v>
      </c>
      <c r="G42" t="s">
        <v>335</v>
      </c>
      <c r="H42" t="s">
        <v>335</v>
      </c>
      <c r="I42" t="s">
        <v>335</v>
      </c>
      <c r="J42" t="s">
        <v>339</v>
      </c>
      <c r="K42" t="s">
        <v>335</v>
      </c>
      <c r="L42" t="s">
        <v>335</v>
      </c>
      <c r="M42" t="s">
        <v>352</v>
      </c>
      <c r="N42" t="s">
        <v>352</v>
      </c>
      <c r="O42" t="s">
        <v>1275</v>
      </c>
      <c r="P42" t="s">
        <v>1021</v>
      </c>
      <c r="Q42" t="s">
        <v>1022</v>
      </c>
      <c r="R42" t="s">
        <v>1072</v>
      </c>
      <c r="S42" t="s">
        <v>1070</v>
      </c>
      <c r="T42" t="s">
        <v>348</v>
      </c>
      <c r="U42" t="s">
        <v>361</v>
      </c>
      <c r="V42">
        <v>65.009904000000006</v>
      </c>
      <c r="W42">
        <v>-147.89549600000001</v>
      </c>
      <c r="X42">
        <v>1000</v>
      </c>
      <c r="Y42" t="s">
        <v>1069</v>
      </c>
      <c r="Z42" t="s">
        <v>1071</v>
      </c>
      <c r="AA42" t="s">
        <v>1247</v>
      </c>
      <c r="AB42" t="s">
        <v>400</v>
      </c>
      <c r="AC42" t="s">
        <v>366</v>
      </c>
      <c r="AD42" t="s">
        <v>1068</v>
      </c>
      <c r="AE42" t="s">
        <v>364</v>
      </c>
      <c r="AF42" t="s">
        <v>346</v>
      </c>
      <c r="AG42" t="s">
        <v>346</v>
      </c>
      <c r="AH42" t="s">
        <v>346</v>
      </c>
      <c r="AI42" t="s">
        <v>346</v>
      </c>
      <c r="AJ42" t="s">
        <v>339</v>
      </c>
      <c r="AK42">
        <v>101</v>
      </c>
      <c r="AL42" t="s">
        <v>529</v>
      </c>
      <c r="AM42" t="s">
        <v>366</v>
      </c>
      <c r="AN42" t="s">
        <v>348</v>
      </c>
      <c r="AO42" t="s">
        <v>349</v>
      </c>
      <c r="AP42" t="s">
        <v>386</v>
      </c>
      <c r="AQ42" t="s">
        <v>368</v>
      </c>
      <c r="AR42" t="s">
        <v>369</v>
      </c>
      <c r="AS42">
        <v>28</v>
      </c>
      <c r="AT42" t="s">
        <v>349</v>
      </c>
      <c r="AU42" t="s">
        <v>349</v>
      </c>
      <c r="AV42" t="s">
        <v>367</v>
      </c>
      <c r="AW42" t="s">
        <v>367</v>
      </c>
      <c r="AX42" t="s">
        <v>367</v>
      </c>
      <c r="AY42" t="s">
        <v>367</v>
      </c>
      <c r="AZ42" t="s">
        <v>367</v>
      </c>
      <c r="BA42" t="s">
        <v>367</v>
      </c>
      <c r="BB42" t="s">
        <v>367</v>
      </c>
      <c r="BC42">
        <v>5</v>
      </c>
    </row>
    <row r="43" spans="1:55" ht="15" customHeight="1" x14ac:dyDescent="0.35">
      <c r="A43" t="s">
        <v>1065</v>
      </c>
      <c r="B43" t="s">
        <v>1548</v>
      </c>
      <c r="C43" t="s">
        <v>1066</v>
      </c>
      <c r="D43" t="s">
        <v>49</v>
      </c>
      <c r="E43">
        <v>2018</v>
      </c>
      <c r="F43" t="s">
        <v>1067</v>
      </c>
      <c r="G43" t="s">
        <v>335</v>
      </c>
      <c r="H43" t="s">
        <v>335</v>
      </c>
      <c r="I43" t="s">
        <v>335</v>
      </c>
      <c r="J43" t="s">
        <v>339</v>
      </c>
      <c r="K43" t="s">
        <v>335</v>
      </c>
      <c r="L43" t="s">
        <v>335</v>
      </c>
      <c r="M43" t="s">
        <v>352</v>
      </c>
      <c r="N43" t="s">
        <v>352</v>
      </c>
      <c r="O43" t="s">
        <v>1275</v>
      </c>
      <c r="P43" t="s">
        <v>395</v>
      </c>
      <c r="Q43" t="s">
        <v>874</v>
      </c>
      <c r="R43" t="s">
        <v>875</v>
      </c>
      <c r="S43" t="s">
        <v>873</v>
      </c>
      <c r="T43" t="s">
        <v>348</v>
      </c>
      <c r="U43" t="s">
        <v>361</v>
      </c>
      <c r="V43">
        <v>65.009904000000006</v>
      </c>
      <c r="W43">
        <v>-147.89549600000001</v>
      </c>
      <c r="X43">
        <v>1000</v>
      </c>
      <c r="Y43" t="s">
        <v>1069</v>
      </c>
      <c r="Z43" t="s">
        <v>1071</v>
      </c>
      <c r="AA43" t="s">
        <v>1247</v>
      </c>
      <c r="AB43" t="s">
        <v>400</v>
      </c>
      <c r="AC43" t="s">
        <v>366</v>
      </c>
      <c r="AD43" t="s">
        <v>1068</v>
      </c>
      <c r="AE43" t="s">
        <v>364</v>
      </c>
      <c r="AF43" t="s">
        <v>346</v>
      </c>
      <c r="AG43" t="s">
        <v>346</v>
      </c>
      <c r="AH43" t="s">
        <v>346</v>
      </c>
      <c r="AI43" t="s">
        <v>346</v>
      </c>
      <c r="AJ43" t="s">
        <v>339</v>
      </c>
      <c r="AK43">
        <v>108</v>
      </c>
      <c r="AL43" t="s">
        <v>377</v>
      </c>
      <c r="AM43" t="s">
        <v>366</v>
      </c>
      <c r="AN43" t="s">
        <v>348</v>
      </c>
      <c r="AO43" t="s">
        <v>367</v>
      </c>
      <c r="AP43" t="s">
        <v>386</v>
      </c>
      <c r="AQ43" t="s">
        <v>368</v>
      </c>
      <c r="AR43" t="s">
        <v>369</v>
      </c>
      <c r="AS43">
        <v>26</v>
      </c>
      <c r="AT43" t="s">
        <v>349</v>
      </c>
      <c r="AU43" t="s">
        <v>349</v>
      </c>
      <c r="AV43" t="s">
        <v>367</v>
      </c>
      <c r="AW43" t="s">
        <v>367</v>
      </c>
      <c r="AX43" t="s">
        <v>367</v>
      </c>
      <c r="AY43" t="s">
        <v>367</v>
      </c>
      <c r="AZ43" t="s">
        <v>367</v>
      </c>
      <c r="BA43" t="s">
        <v>367</v>
      </c>
      <c r="BB43" t="s">
        <v>367</v>
      </c>
      <c r="BC43">
        <v>4</v>
      </c>
    </row>
    <row r="44" spans="1:55" ht="15" customHeight="1" x14ac:dyDescent="0.35">
      <c r="A44" t="s">
        <v>995</v>
      </c>
      <c r="B44" t="s">
        <v>1549</v>
      </c>
      <c r="C44" t="s">
        <v>1375</v>
      </c>
      <c r="D44" t="s">
        <v>32</v>
      </c>
      <c r="E44">
        <v>2022</v>
      </c>
      <c r="F44" t="s">
        <v>1376</v>
      </c>
      <c r="G44" t="s">
        <v>335</v>
      </c>
      <c r="H44" t="s">
        <v>352</v>
      </c>
      <c r="I44" t="s">
        <v>335</v>
      </c>
      <c r="J44" t="s">
        <v>339</v>
      </c>
      <c r="K44" t="s">
        <v>335</v>
      </c>
      <c r="L44" t="s">
        <v>352</v>
      </c>
      <c r="M44" t="s">
        <v>352</v>
      </c>
      <c r="N44" t="s">
        <v>352</v>
      </c>
      <c r="P44" t="s">
        <v>427</v>
      </c>
      <c r="Q44" t="s">
        <v>1410</v>
      </c>
      <c r="R44" t="s">
        <v>1411</v>
      </c>
      <c r="S44" t="s">
        <v>1407</v>
      </c>
      <c r="T44" t="s">
        <v>1249</v>
      </c>
      <c r="U44" t="s">
        <v>1409</v>
      </c>
      <c r="V44">
        <v>72.639092000000005</v>
      </c>
      <c r="W44">
        <v>-121.166597</v>
      </c>
      <c r="X44">
        <v>300</v>
      </c>
      <c r="Y44" t="s">
        <v>1408</v>
      </c>
      <c r="Z44" t="s">
        <v>1406</v>
      </c>
      <c r="AA44" t="s">
        <v>1236</v>
      </c>
      <c r="AB44" t="s">
        <v>384</v>
      </c>
      <c r="AC44" t="s">
        <v>1241</v>
      </c>
      <c r="AD44" t="s">
        <v>1405</v>
      </c>
      <c r="AE44" t="s">
        <v>354</v>
      </c>
      <c r="AF44">
        <v>0</v>
      </c>
      <c r="AG44">
        <v>0.03</v>
      </c>
      <c r="AH44" t="s">
        <v>346</v>
      </c>
      <c r="AI44" t="s">
        <v>346</v>
      </c>
      <c r="AJ44" t="s">
        <v>592</v>
      </c>
      <c r="AK44">
        <v>24</v>
      </c>
      <c r="AL44" t="s">
        <v>377</v>
      </c>
      <c r="AM44" t="s">
        <v>347</v>
      </c>
      <c r="AN44" t="s">
        <v>348</v>
      </c>
      <c r="AO44" t="s">
        <v>349</v>
      </c>
      <c r="AP44" t="s">
        <v>492</v>
      </c>
      <c r="AQ44" t="s">
        <v>351</v>
      </c>
      <c r="AR44" t="s">
        <v>369</v>
      </c>
      <c r="AS44">
        <v>280</v>
      </c>
      <c r="AT44" t="s">
        <v>349</v>
      </c>
      <c r="AU44" t="s">
        <v>367</v>
      </c>
      <c r="AV44" t="s">
        <v>367</v>
      </c>
      <c r="AW44" t="s">
        <v>367</v>
      </c>
      <c r="AX44" t="s">
        <v>367</v>
      </c>
      <c r="AY44" t="s">
        <v>367</v>
      </c>
      <c r="AZ44" t="s">
        <v>367</v>
      </c>
      <c r="BA44" t="s">
        <v>367</v>
      </c>
      <c r="BB44" t="s">
        <v>367</v>
      </c>
      <c r="BC44">
        <v>4</v>
      </c>
    </row>
    <row r="45" spans="1:55" ht="15" customHeight="1" x14ac:dyDescent="0.35">
      <c r="A45" t="s">
        <v>1065</v>
      </c>
      <c r="B45" t="s">
        <v>1550</v>
      </c>
      <c r="C45" t="s">
        <v>1102</v>
      </c>
      <c r="D45" t="s">
        <v>116</v>
      </c>
      <c r="E45">
        <v>2007</v>
      </c>
      <c r="G45" t="s">
        <v>335</v>
      </c>
      <c r="H45" t="s">
        <v>335</v>
      </c>
      <c r="I45" t="s">
        <v>335</v>
      </c>
      <c r="J45" t="s">
        <v>339</v>
      </c>
      <c r="K45" t="s">
        <v>335</v>
      </c>
      <c r="L45" t="s">
        <v>335</v>
      </c>
      <c r="M45" t="s">
        <v>352</v>
      </c>
      <c r="N45" t="s">
        <v>352</v>
      </c>
      <c r="P45" t="s">
        <v>379</v>
      </c>
      <c r="Q45" t="s">
        <v>380</v>
      </c>
      <c r="R45" t="s">
        <v>1259</v>
      </c>
      <c r="S45" t="s">
        <v>381</v>
      </c>
      <c r="T45" t="s">
        <v>348</v>
      </c>
      <c r="U45" t="s">
        <v>344</v>
      </c>
      <c r="V45">
        <v>50.482585</v>
      </c>
      <c r="W45">
        <v>-110.66240000000001</v>
      </c>
      <c r="X45">
        <v>668</v>
      </c>
      <c r="Y45" t="s">
        <v>1150</v>
      </c>
      <c r="AA45" t="s">
        <v>1247</v>
      </c>
      <c r="AB45" t="s">
        <v>400</v>
      </c>
      <c r="AC45" t="s">
        <v>366</v>
      </c>
      <c r="AD45" t="s">
        <v>433</v>
      </c>
      <c r="AE45" t="s">
        <v>364</v>
      </c>
      <c r="AF45">
        <v>-4.9000000000000002E-2</v>
      </c>
      <c r="AG45" t="s">
        <v>346</v>
      </c>
      <c r="AH45">
        <v>-7.2999999999999995E-2</v>
      </c>
      <c r="AI45">
        <v>-2.5000000000000001E-2</v>
      </c>
      <c r="AJ45" t="s">
        <v>592</v>
      </c>
      <c r="AK45">
        <v>142</v>
      </c>
      <c r="AL45" t="s">
        <v>377</v>
      </c>
      <c r="AM45" t="s">
        <v>347</v>
      </c>
      <c r="AN45" t="s">
        <v>348</v>
      </c>
      <c r="AO45" t="s">
        <v>367</v>
      </c>
      <c r="AP45" t="s">
        <v>386</v>
      </c>
      <c r="AQ45" t="s">
        <v>368</v>
      </c>
      <c r="AR45" t="s">
        <v>369</v>
      </c>
      <c r="AS45">
        <v>48</v>
      </c>
      <c r="AT45" t="s">
        <v>367</v>
      </c>
      <c r="AU45" t="s">
        <v>367</v>
      </c>
      <c r="AV45" t="s">
        <v>367</v>
      </c>
      <c r="AW45" t="s">
        <v>349</v>
      </c>
      <c r="AX45" t="s">
        <v>367</v>
      </c>
      <c r="AY45" t="s">
        <v>349</v>
      </c>
      <c r="AZ45" t="s">
        <v>367</v>
      </c>
      <c r="BA45" t="s">
        <v>367</v>
      </c>
      <c r="BB45" t="s">
        <v>367</v>
      </c>
      <c r="BC45">
        <v>5</v>
      </c>
    </row>
    <row r="46" spans="1:55" ht="15" customHeight="1" x14ac:dyDescent="0.35">
      <c r="A46" t="s">
        <v>995</v>
      </c>
      <c r="B46" t="s">
        <v>1518</v>
      </c>
      <c r="C46" t="s">
        <v>85</v>
      </c>
      <c r="D46" t="s">
        <v>86</v>
      </c>
      <c r="E46">
        <v>2005</v>
      </c>
      <c r="F46" t="s">
        <v>87</v>
      </c>
      <c r="G46" t="s">
        <v>335</v>
      </c>
      <c r="H46" t="s">
        <v>335</v>
      </c>
      <c r="I46" t="s">
        <v>335</v>
      </c>
      <c r="J46" t="s">
        <v>339</v>
      </c>
      <c r="K46" t="s">
        <v>335</v>
      </c>
      <c r="L46" t="s">
        <v>335</v>
      </c>
      <c r="M46" t="s">
        <v>352</v>
      </c>
      <c r="N46" t="s">
        <v>335</v>
      </c>
      <c r="O46" t="s">
        <v>559</v>
      </c>
      <c r="P46" t="s">
        <v>565</v>
      </c>
      <c r="Q46" t="s">
        <v>563</v>
      </c>
      <c r="R46" t="s">
        <v>564</v>
      </c>
      <c r="S46" t="s">
        <v>560</v>
      </c>
      <c r="T46" t="s">
        <v>1249</v>
      </c>
      <c r="U46" t="s">
        <v>471</v>
      </c>
      <c r="V46">
        <v>34.924427000000001</v>
      </c>
      <c r="W46">
        <v>-101.58811799999999</v>
      </c>
      <c r="X46">
        <v>788</v>
      </c>
      <c r="Y46" t="s">
        <v>557</v>
      </c>
      <c r="AA46" t="s">
        <v>1236</v>
      </c>
      <c r="AB46" t="s">
        <v>441</v>
      </c>
      <c r="AC46" t="s">
        <v>366</v>
      </c>
      <c r="AD46" t="s">
        <v>558</v>
      </c>
      <c r="AE46" t="s">
        <v>364</v>
      </c>
      <c r="AF46" t="s">
        <v>346</v>
      </c>
      <c r="AG46" t="s">
        <v>346</v>
      </c>
      <c r="AH46" t="s">
        <v>346</v>
      </c>
      <c r="AI46" t="s">
        <v>346</v>
      </c>
      <c r="AJ46" t="s">
        <v>339</v>
      </c>
      <c r="AK46">
        <v>111</v>
      </c>
      <c r="AL46" t="s">
        <v>377</v>
      </c>
      <c r="AM46" t="s">
        <v>366</v>
      </c>
      <c r="AN46" t="s">
        <v>348</v>
      </c>
      <c r="AO46" t="s">
        <v>349</v>
      </c>
      <c r="AP46" t="s">
        <v>355</v>
      </c>
      <c r="AQ46" t="s">
        <v>351</v>
      </c>
      <c r="AR46" t="s">
        <v>369</v>
      </c>
      <c r="AS46">
        <v>313</v>
      </c>
      <c r="AT46" t="s">
        <v>349</v>
      </c>
      <c r="AU46" t="s">
        <v>349</v>
      </c>
      <c r="AV46" t="s">
        <v>367</v>
      </c>
      <c r="AW46" t="s">
        <v>367</v>
      </c>
      <c r="AX46" t="s">
        <v>349</v>
      </c>
      <c r="AY46" t="s">
        <v>367</v>
      </c>
      <c r="AZ46" t="s">
        <v>367</v>
      </c>
      <c r="BA46" t="s">
        <v>367</v>
      </c>
      <c r="BB46" t="s">
        <v>367</v>
      </c>
      <c r="BC46">
        <v>4</v>
      </c>
    </row>
    <row r="47" spans="1:55" ht="15" customHeight="1" x14ac:dyDescent="0.35">
      <c r="A47" t="s">
        <v>995</v>
      </c>
      <c r="B47" t="s">
        <v>1518</v>
      </c>
      <c r="C47" t="s">
        <v>85</v>
      </c>
      <c r="D47" t="s">
        <v>86</v>
      </c>
      <c r="E47">
        <v>2005</v>
      </c>
      <c r="F47" t="s">
        <v>87</v>
      </c>
      <c r="G47" t="s">
        <v>335</v>
      </c>
      <c r="H47" t="s">
        <v>335</v>
      </c>
      <c r="I47" t="s">
        <v>335</v>
      </c>
      <c r="J47" t="s">
        <v>339</v>
      </c>
      <c r="K47" t="s">
        <v>335</v>
      </c>
      <c r="L47" t="s">
        <v>335</v>
      </c>
      <c r="M47" t="s">
        <v>352</v>
      </c>
      <c r="N47" t="s">
        <v>335</v>
      </c>
      <c r="O47" t="s">
        <v>559</v>
      </c>
      <c r="P47" t="s">
        <v>565</v>
      </c>
      <c r="Q47" t="s">
        <v>566</v>
      </c>
      <c r="R47" t="s">
        <v>567</v>
      </c>
      <c r="S47" t="s">
        <v>561</v>
      </c>
      <c r="T47" t="s">
        <v>1249</v>
      </c>
      <c r="U47" t="s">
        <v>471</v>
      </c>
      <c r="V47">
        <v>34.924427000000001</v>
      </c>
      <c r="W47">
        <v>-101.58811799999999</v>
      </c>
      <c r="X47">
        <v>788</v>
      </c>
      <c r="Y47" t="s">
        <v>557</v>
      </c>
      <c r="AA47" t="s">
        <v>1236</v>
      </c>
      <c r="AB47" t="s">
        <v>441</v>
      </c>
      <c r="AC47" t="s">
        <v>366</v>
      </c>
      <c r="AD47" t="s">
        <v>558</v>
      </c>
      <c r="AE47" t="s">
        <v>364</v>
      </c>
      <c r="AF47" t="s">
        <v>346</v>
      </c>
      <c r="AG47" t="s">
        <v>346</v>
      </c>
      <c r="AH47" t="s">
        <v>346</v>
      </c>
      <c r="AI47" t="s">
        <v>346</v>
      </c>
      <c r="AJ47" t="s">
        <v>339</v>
      </c>
      <c r="AK47">
        <v>26</v>
      </c>
      <c r="AL47" t="s">
        <v>377</v>
      </c>
      <c r="AM47" t="s">
        <v>366</v>
      </c>
      <c r="AN47" t="s">
        <v>348</v>
      </c>
      <c r="AO47" t="s">
        <v>349</v>
      </c>
      <c r="AP47" t="s">
        <v>355</v>
      </c>
      <c r="AQ47" t="s">
        <v>351</v>
      </c>
      <c r="AR47" t="s">
        <v>369</v>
      </c>
      <c r="AS47">
        <v>178</v>
      </c>
      <c r="AT47" t="s">
        <v>349</v>
      </c>
      <c r="AU47" t="s">
        <v>367</v>
      </c>
      <c r="AV47" t="s">
        <v>367</v>
      </c>
      <c r="AW47" t="s">
        <v>367</v>
      </c>
      <c r="AX47" t="s">
        <v>349</v>
      </c>
      <c r="AY47" t="s">
        <v>367</v>
      </c>
      <c r="AZ47" t="s">
        <v>367</v>
      </c>
      <c r="BA47" t="s">
        <v>367</v>
      </c>
      <c r="BB47" t="s">
        <v>367</v>
      </c>
      <c r="BC47">
        <v>4</v>
      </c>
    </row>
    <row r="48" spans="1:55" ht="15" customHeight="1" x14ac:dyDescent="0.35">
      <c r="A48" t="s">
        <v>995</v>
      </c>
      <c r="B48" t="s">
        <v>1518</v>
      </c>
      <c r="C48" t="s">
        <v>85</v>
      </c>
      <c r="D48" t="s">
        <v>86</v>
      </c>
      <c r="E48">
        <v>2005</v>
      </c>
      <c r="F48" t="s">
        <v>87</v>
      </c>
      <c r="G48" t="s">
        <v>335</v>
      </c>
      <c r="H48" t="s">
        <v>335</v>
      </c>
      <c r="I48" t="s">
        <v>335</v>
      </c>
      <c r="J48" t="s">
        <v>339</v>
      </c>
      <c r="K48" t="s">
        <v>335</v>
      </c>
      <c r="L48" t="s">
        <v>335</v>
      </c>
      <c r="M48" t="s">
        <v>352</v>
      </c>
      <c r="N48" t="s">
        <v>335</v>
      </c>
      <c r="O48" t="s">
        <v>559</v>
      </c>
      <c r="P48" t="s">
        <v>427</v>
      </c>
      <c r="Q48" t="s">
        <v>428</v>
      </c>
      <c r="R48" t="s">
        <v>569</v>
      </c>
      <c r="S48" t="s">
        <v>562</v>
      </c>
      <c r="T48" t="s">
        <v>1249</v>
      </c>
      <c r="U48" t="s">
        <v>471</v>
      </c>
      <c r="V48">
        <v>34.924427000000001</v>
      </c>
      <c r="W48">
        <v>-101.58811799999999</v>
      </c>
      <c r="X48">
        <v>788</v>
      </c>
      <c r="Y48" t="s">
        <v>557</v>
      </c>
      <c r="AA48" t="s">
        <v>1236</v>
      </c>
      <c r="AB48" t="s">
        <v>441</v>
      </c>
      <c r="AC48" t="s">
        <v>366</v>
      </c>
      <c r="AD48" t="s">
        <v>558</v>
      </c>
      <c r="AE48" t="s">
        <v>364</v>
      </c>
      <c r="AF48" t="s">
        <v>346</v>
      </c>
      <c r="AG48" t="s">
        <v>346</v>
      </c>
      <c r="AH48" t="s">
        <v>346</v>
      </c>
      <c r="AI48" t="s">
        <v>346</v>
      </c>
      <c r="AJ48" t="s">
        <v>339</v>
      </c>
      <c r="AK48">
        <v>43</v>
      </c>
      <c r="AL48" t="s">
        <v>377</v>
      </c>
      <c r="AM48" t="s">
        <v>366</v>
      </c>
      <c r="AN48" t="s">
        <v>348</v>
      </c>
      <c r="AO48" t="s">
        <v>349</v>
      </c>
      <c r="AP48" t="s">
        <v>355</v>
      </c>
      <c r="AQ48" t="s">
        <v>351</v>
      </c>
      <c r="AR48" t="s">
        <v>369</v>
      </c>
      <c r="AS48">
        <v>88</v>
      </c>
      <c r="AT48" t="s">
        <v>349</v>
      </c>
      <c r="AU48" t="s">
        <v>349</v>
      </c>
      <c r="AV48" t="s">
        <v>367</v>
      </c>
      <c r="AW48" t="s">
        <v>367</v>
      </c>
      <c r="AX48" t="s">
        <v>367</v>
      </c>
      <c r="AY48" t="s">
        <v>367</v>
      </c>
      <c r="AZ48" t="s">
        <v>367</v>
      </c>
      <c r="BA48" t="s">
        <v>367</v>
      </c>
      <c r="BB48" t="s">
        <v>367</v>
      </c>
      <c r="BC48">
        <v>4</v>
      </c>
    </row>
    <row r="49" spans="1:55" ht="15" customHeight="1" x14ac:dyDescent="0.35">
      <c r="A49" t="s">
        <v>995</v>
      </c>
      <c r="B49" t="s">
        <v>1518</v>
      </c>
      <c r="C49" t="s">
        <v>85</v>
      </c>
      <c r="D49" t="s">
        <v>86</v>
      </c>
      <c r="E49">
        <v>2005</v>
      </c>
      <c r="F49" t="s">
        <v>87</v>
      </c>
      <c r="G49" t="s">
        <v>335</v>
      </c>
      <c r="H49" t="s">
        <v>335</v>
      </c>
      <c r="I49" t="s">
        <v>335</v>
      </c>
      <c r="J49" t="s">
        <v>339</v>
      </c>
      <c r="K49" t="s">
        <v>335</v>
      </c>
      <c r="L49" t="s">
        <v>335</v>
      </c>
      <c r="M49" t="s">
        <v>352</v>
      </c>
      <c r="N49" t="s">
        <v>335</v>
      </c>
      <c r="O49" t="s">
        <v>559</v>
      </c>
      <c r="P49" t="s">
        <v>427</v>
      </c>
      <c r="Q49" t="s">
        <v>428</v>
      </c>
      <c r="R49" t="s">
        <v>570</v>
      </c>
      <c r="S49" t="s">
        <v>568</v>
      </c>
      <c r="T49" t="s">
        <v>1249</v>
      </c>
      <c r="U49" t="s">
        <v>471</v>
      </c>
      <c r="V49">
        <v>34.924427000000001</v>
      </c>
      <c r="W49">
        <v>-101.58811799999999</v>
      </c>
      <c r="X49">
        <v>788</v>
      </c>
      <c r="Y49" t="s">
        <v>557</v>
      </c>
      <c r="AA49" t="s">
        <v>1236</v>
      </c>
      <c r="AB49" t="s">
        <v>441</v>
      </c>
      <c r="AC49" t="s">
        <v>366</v>
      </c>
      <c r="AD49" t="s">
        <v>558</v>
      </c>
      <c r="AE49" t="s">
        <v>364</v>
      </c>
      <c r="AF49" t="s">
        <v>346</v>
      </c>
      <c r="AG49" t="s">
        <v>346</v>
      </c>
      <c r="AH49" t="s">
        <v>346</v>
      </c>
      <c r="AI49" t="s">
        <v>346</v>
      </c>
      <c r="AJ49" t="s">
        <v>339</v>
      </c>
      <c r="AK49">
        <v>298</v>
      </c>
      <c r="AL49" t="s">
        <v>377</v>
      </c>
      <c r="AM49" t="s">
        <v>366</v>
      </c>
      <c r="AN49" t="s">
        <v>348</v>
      </c>
      <c r="AO49" t="s">
        <v>349</v>
      </c>
      <c r="AP49" t="s">
        <v>355</v>
      </c>
      <c r="AQ49" t="s">
        <v>351</v>
      </c>
      <c r="AR49" t="s">
        <v>369</v>
      </c>
      <c r="AS49">
        <v>46</v>
      </c>
      <c r="AT49" t="s">
        <v>349</v>
      </c>
      <c r="AU49" t="s">
        <v>367</v>
      </c>
      <c r="AV49" t="s">
        <v>367</v>
      </c>
      <c r="AW49" t="s">
        <v>367</v>
      </c>
      <c r="AX49" t="s">
        <v>367</v>
      </c>
      <c r="AY49" t="s">
        <v>367</v>
      </c>
      <c r="AZ49" t="s">
        <v>367</v>
      </c>
      <c r="BA49" t="s">
        <v>367</v>
      </c>
      <c r="BB49" t="s">
        <v>367</v>
      </c>
      <c r="BC49">
        <v>3</v>
      </c>
    </row>
    <row r="50" spans="1:55" ht="15" customHeight="1" x14ac:dyDescent="0.35">
      <c r="A50" t="s">
        <v>995</v>
      </c>
      <c r="B50" t="s">
        <v>1551</v>
      </c>
      <c r="C50" t="s">
        <v>89</v>
      </c>
      <c r="D50" t="s">
        <v>90</v>
      </c>
      <c r="E50">
        <v>2008</v>
      </c>
      <c r="F50" t="s">
        <v>91</v>
      </c>
      <c r="G50" t="s">
        <v>335</v>
      </c>
      <c r="H50" t="s">
        <v>335</v>
      </c>
      <c r="I50" t="s">
        <v>335</v>
      </c>
      <c r="J50" t="s">
        <v>339</v>
      </c>
      <c r="K50" t="s">
        <v>335</v>
      </c>
      <c r="L50" t="s">
        <v>335</v>
      </c>
      <c r="M50" t="s">
        <v>352</v>
      </c>
      <c r="N50" t="s">
        <v>352</v>
      </c>
      <c r="P50" t="s">
        <v>412</v>
      </c>
      <c r="Q50" t="s">
        <v>413</v>
      </c>
      <c r="R50" t="s">
        <v>414</v>
      </c>
      <c r="S50" t="s">
        <v>415</v>
      </c>
      <c r="T50" t="s">
        <v>348</v>
      </c>
      <c r="U50" t="s">
        <v>344</v>
      </c>
      <c r="V50">
        <v>-28.824601000000001</v>
      </c>
      <c r="W50">
        <v>24.820077999999999</v>
      </c>
      <c r="X50">
        <v>1160</v>
      </c>
      <c r="Y50" t="s">
        <v>416</v>
      </c>
      <c r="Z50" t="s">
        <v>571</v>
      </c>
      <c r="AA50" t="s">
        <v>1236</v>
      </c>
      <c r="AB50" t="s">
        <v>514</v>
      </c>
      <c r="AC50" t="s">
        <v>1237</v>
      </c>
      <c r="AD50" t="s">
        <v>1276</v>
      </c>
      <c r="AE50" t="s">
        <v>354</v>
      </c>
      <c r="AF50" t="s">
        <v>346</v>
      </c>
      <c r="AG50" t="s">
        <v>346</v>
      </c>
      <c r="AH50" t="s">
        <v>346</v>
      </c>
      <c r="AI50" t="s">
        <v>346</v>
      </c>
      <c r="AJ50" t="s">
        <v>339</v>
      </c>
      <c r="AK50">
        <v>710</v>
      </c>
      <c r="AL50" t="s">
        <v>417</v>
      </c>
      <c r="AM50" t="s">
        <v>339</v>
      </c>
      <c r="AN50" t="s">
        <v>410</v>
      </c>
      <c r="AO50" t="s">
        <v>367</v>
      </c>
      <c r="AP50" t="s">
        <v>768</v>
      </c>
      <c r="AQ50" t="s">
        <v>368</v>
      </c>
      <c r="AR50" t="s">
        <v>545</v>
      </c>
      <c r="AS50">
        <v>29</v>
      </c>
      <c r="AT50" t="s">
        <v>349</v>
      </c>
      <c r="AU50" t="s">
        <v>349</v>
      </c>
      <c r="AV50" t="s">
        <v>367</v>
      </c>
      <c r="AW50" t="s">
        <v>367</v>
      </c>
      <c r="AX50" t="s">
        <v>367</v>
      </c>
      <c r="AY50" t="s">
        <v>367</v>
      </c>
      <c r="AZ50" t="s">
        <v>367</v>
      </c>
      <c r="BA50" t="s">
        <v>367</v>
      </c>
      <c r="BB50" t="s">
        <v>367</v>
      </c>
      <c r="BC50">
        <v>3.5</v>
      </c>
    </row>
    <row r="51" spans="1:55" ht="15" customHeight="1" x14ac:dyDescent="0.35">
      <c r="A51" t="s">
        <v>995</v>
      </c>
      <c r="B51" t="s">
        <v>1552</v>
      </c>
      <c r="C51" t="s">
        <v>92</v>
      </c>
      <c r="D51" t="s">
        <v>28</v>
      </c>
      <c r="E51">
        <v>2020</v>
      </c>
      <c r="F51" t="s">
        <v>93</v>
      </c>
      <c r="G51" t="s">
        <v>335</v>
      </c>
      <c r="H51" t="s">
        <v>335</v>
      </c>
      <c r="I51" t="s">
        <v>335</v>
      </c>
      <c r="J51" t="s">
        <v>339</v>
      </c>
      <c r="K51" t="s">
        <v>335</v>
      </c>
      <c r="L51" t="s">
        <v>335</v>
      </c>
      <c r="M51" t="s">
        <v>352</v>
      </c>
      <c r="N51" t="s">
        <v>352</v>
      </c>
      <c r="P51" t="s">
        <v>418</v>
      </c>
      <c r="Q51" t="s">
        <v>419</v>
      </c>
      <c r="R51" t="s">
        <v>420</v>
      </c>
      <c r="S51" t="s">
        <v>421</v>
      </c>
      <c r="T51" t="s">
        <v>1249</v>
      </c>
      <c r="U51" t="s">
        <v>422</v>
      </c>
      <c r="V51">
        <v>30.25</v>
      </c>
      <c r="W51">
        <v>-81.28</v>
      </c>
      <c r="X51">
        <v>0</v>
      </c>
      <c r="Y51" t="s">
        <v>423</v>
      </c>
      <c r="Z51" t="s">
        <v>1277</v>
      </c>
      <c r="AA51" t="s">
        <v>1236</v>
      </c>
      <c r="AB51" t="s">
        <v>384</v>
      </c>
      <c r="AC51" t="s">
        <v>366</v>
      </c>
      <c r="AD51" t="s">
        <v>433</v>
      </c>
      <c r="AE51" t="s">
        <v>364</v>
      </c>
      <c r="AF51">
        <v>-0.125</v>
      </c>
      <c r="AG51">
        <v>3.7999999999999999E-2</v>
      </c>
      <c r="AH51" t="s">
        <v>346</v>
      </c>
      <c r="AI51" t="s">
        <v>346</v>
      </c>
      <c r="AJ51" t="s">
        <v>592</v>
      </c>
      <c r="AK51">
        <v>888</v>
      </c>
      <c r="AL51" t="s">
        <v>377</v>
      </c>
      <c r="AM51" t="s">
        <v>366</v>
      </c>
      <c r="AN51" t="s">
        <v>410</v>
      </c>
      <c r="AO51" t="s">
        <v>367</v>
      </c>
      <c r="AP51" t="s">
        <v>424</v>
      </c>
      <c r="AQ51" t="s">
        <v>368</v>
      </c>
      <c r="AR51" t="s">
        <v>369</v>
      </c>
      <c r="AS51">
        <v>12</v>
      </c>
      <c r="AT51" t="s">
        <v>349</v>
      </c>
      <c r="AU51" t="s">
        <v>367</v>
      </c>
      <c r="AV51" t="s">
        <v>367</v>
      </c>
      <c r="AW51" t="s">
        <v>367</v>
      </c>
      <c r="AX51" t="s">
        <v>367</v>
      </c>
      <c r="AY51" t="s">
        <v>367</v>
      </c>
      <c r="AZ51" t="s">
        <v>367</v>
      </c>
      <c r="BA51" t="s">
        <v>367</v>
      </c>
      <c r="BB51" t="s">
        <v>367</v>
      </c>
      <c r="BC51">
        <v>5</v>
      </c>
    </row>
    <row r="52" spans="1:55" ht="15" customHeight="1" x14ac:dyDescent="0.35">
      <c r="A52" t="s">
        <v>995</v>
      </c>
      <c r="B52" t="s">
        <v>1552</v>
      </c>
      <c r="C52" t="s">
        <v>92</v>
      </c>
      <c r="D52" t="s">
        <v>28</v>
      </c>
      <c r="E52">
        <v>2020</v>
      </c>
      <c r="F52" t="s">
        <v>93</v>
      </c>
      <c r="G52" t="s">
        <v>335</v>
      </c>
      <c r="H52" t="s">
        <v>335</v>
      </c>
      <c r="I52" t="s">
        <v>335</v>
      </c>
      <c r="J52" t="s">
        <v>339</v>
      </c>
      <c r="K52" t="s">
        <v>335</v>
      </c>
      <c r="L52" t="s">
        <v>335</v>
      </c>
      <c r="M52" t="s">
        <v>352</v>
      </c>
      <c r="N52" t="s">
        <v>352</v>
      </c>
      <c r="P52" t="s">
        <v>395</v>
      </c>
      <c r="Q52" t="s">
        <v>396</v>
      </c>
      <c r="R52" t="s">
        <v>397</v>
      </c>
      <c r="S52" t="s">
        <v>398</v>
      </c>
      <c r="T52" t="s">
        <v>1249</v>
      </c>
      <c r="U52" t="s">
        <v>422</v>
      </c>
      <c r="V52">
        <v>30.25</v>
      </c>
      <c r="W52">
        <v>-81.28</v>
      </c>
      <c r="X52">
        <v>0</v>
      </c>
      <c r="Y52" t="s">
        <v>423</v>
      </c>
      <c r="Z52" t="s">
        <v>1277</v>
      </c>
      <c r="AA52" t="s">
        <v>1236</v>
      </c>
      <c r="AB52" t="s">
        <v>384</v>
      </c>
      <c r="AC52" t="s">
        <v>366</v>
      </c>
      <c r="AD52" t="s">
        <v>433</v>
      </c>
      <c r="AE52" t="s">
        <v>354</v>
      </c>
      <c r="AF52" t="s">
        <v>346</v>
      </c>
      <c r="AG52" t="s">
        <v>346</v>
      </c>
      <c r="AH52" t="s">
        <v>346</v>
      </c>
      <c r="AI52" t="s">
        <v>346</v>
      </c>
      <c r="AJ52" t="s">
        <v>346</v>
      </c>
      <c r="AK52">
        <v>116</v>
      </c>
      <c r="AL52" t="s">
        <v>377</v>
      </c>
      <c r="AM52" t="s">
        <v>339</v>
      </c>
      <c r="AN52" t="s">
        <v>348</v>
      </c>
      <c r="AO52" t="s">
        <v>367</v>
      </c>
      <c r="AP52" t="s">
        <v>386</v>
      </c>
      <c r="AQ52" t="s">
        <v>368</v>
      </c>
      <c r="AR52" t="s">
        <v>369</v>
      </c>
      <c r="AS52">
        <v>24</v>
      </c>
      <c r="AT52" t="s">
        <v>349</v>
      </c>
      <c r="AU52" t="s">
        <v>349</v>
      </c>
      <c r="AV52" t="s">
        <v>367</v>
      </c>
      <c r="AW52" t="s">
        <v>367</v>
      </c>
      <c r="AX52" t="s">
        <v>367</v>
      </c>
      <c r="AY52" t="s">
        <v>367</v>
      </c>
      <c r="AZ52" t="s">
        <v>367</v>
      </c>
      <c r="BA52" t="s">
        <v>367</v>
      </c>
      <c r="BB52" t="s">
        <v>367</v>
      </c>
      <c r="BC52">
        <v>3.5</v>
      </c>
    </row>
    <row r="53" spans="1:55" ht="15" customHeight="1" x14ac:dyDescent="0.35">
      <c r="A53" t="s">
        <v>995</v>
      </c>
      <c r="B53" t="s">
        <v>1553</v>
      </c>
      <c r="C53" t="s">
        <v>95</v>
      </c>
      <c r="D53" t="s">
        <v>37</v>
      </c>
      <c r="E53">
        <v>2018</v>
      </c>
      <c r="F53" t="s">
        <v>96</v>
      </c>
      <c r="G53" t="s">
        <v>335</v>
      </c>
      <c r="H53" t="s">
        <v>335</v>
      </c>
      <c r="I53" t="s">
        <v>335</v>
      </c>
      <c r="J53" t="s">
        <v>339</v>
      </c>
      <c r="K53" t="s">
        <v>335</v>
      </c>
      <c r="L53" t="s">
        <v>335</v>
      </c>
      <c r="M53" t="s">
        <v>352</v>
      </c>
      <c r="N53" t="s">
        <v>352</v>
      </c>
      <c r="P53" t="s">
        <v>395</v>
      </c>
      <c r="Q53" t="s">
        <v>575</v>
      </c>
      <c r="R53" t="s">
        <v>576</v>
      </c>
      <c r="S53" t="s">
        <v>572</v>
      </c>
      <c r="T53" t="s">
        <v>1249</v>
      </c>
      <c r="U53" t="s">
        <v>422</v>
      </c>
      <c r="V53">
        <v>48.633403999999999</v>
      </c>
      <c r="W53">
        <v>-123.287059</v>
      </c>
      <c r="X53">
        <v>13</v>
      </c>
      <c r="Y53" t="s">
        <v>573</v>
      </c>
      <c r="Z53" t="s">
        <v>574</v>
      </c>
      <c r="AA53" t="s">
        <v>1236</v>
      </c>
      <c r="AB53" t="s">
        <v>384</v>
      </c>
      <c r="AC53" t="s">
        <v>366</v>
      </c>
      <c r="AD53" t="s">
        <v>1278</v>
      </c>
      <c r="AE53" t="s">
        <v>364</v>
      </c>
      <c r="AF53">
        <v>-0.35</v>
      </c>
      <c r="AG53">
        <v>0.12</v>
      </c>
      <c r="AH53" t="s">
        <v>346</v>
      </c>
      <c r="AI53" t="s">
        <v>346</v>
      </c>
      <c r="AJ53" t="s">
        <v>513</v>
      </c>
      <c r="AK53">
        <v>2895</v>
      </c>
      <c r="AL53" t="s">
        <v>377</v>
      </c>
      <c r="AM53" t="s">
        <v>347</v>
      </c>
      <c r="AN53" t="s">
        <v>348</v>
      </c>
      <c r="AO53" t="s">
        <v>367</v>
      </c>
      <c r="AP53" t="s">
        <v>386</v>
      </c>
      <c r="AQ53" t="s">
        <v>368</v>
      </c>
      <c r="AR53" t="s">
        <v>369</v>
      </c>
      <c r="AS53">
        <v>19</v>
      </c>
      <c r="AT53" t="s">
        <v>349</v>
      </c>
      <c r="AU53" t="s">
        <v>349</v>
      </c>
      <c r="AV53" t="s">
        <v>367</v>
      </c>
      <c r="AW53" t="s">
        <v>367</v>
      </c>
      <c r="AX53" t="s">
        <v>367</v>
      </c>
      <c r="AY53" t="s">
        <v>367</v>
      </c>
      <c r="AZ53" t="s">
        <v>367</v>
      </c>
      <c r="BA53" t="s">
        <v>367</v>
      </c>
      <c r="BB53" t="s">
        <v>367</v>
      </c>
      <c r="BC53">
        <v>4</v>
      </c>
    </row>
    <row r="54" spans="1:55" ht="15" customHeight="1" x14ac:dyDescent="0.35">
      <c r="A54" t="s">
        <v>995</v>
      </c>
      <c r="B54" t="s">
        <v>1554</v>
      </c>
      <c r="C54" t="s">
        <v>97</v>
      </c>
      <c r="D54" t="s">
        <v>94</v>
      </c>
      <c r="E54">
        <v>2016</v>
      </c>
      <c r="F54" t="s">
        <v>98</v>
      </c>
      <c r="G54" t="s">
        <v>335</v>
      </c>
      <c r="H54" t="s">
        <v>335</v>
      </c>
      <c r="I54" t="s">
        <v>335</v>
      </c>
      <c r="J54" t="s">
        <v>339</v>
      </c>
      <c r="K54" t="s">
        <v>335</v>
      </c>
      <c r="L54" t="s">
        <v>335</v>
      </c>
      <c r="M54" t="s">
        <v>352</v>
      </c>
      <c r="N54" t="s">
        <v>352</v>
      </c>
      <c r="P54" t="s">
        <v>826</v>
      </c>
      <c r="Q54" t="s">
        <v>890</v>
      </c>
      <c r="R54" t="s">
        <v>908</v>
      </c>
      <c r="S54" t="s">
        <v>906</v>
      </c>
      <c r="T54" t="s">
        <v>348</v>
      </c>
      <c r="U54" t="s">
        <v>344</v>
      </c>
      <c r="V54">
        <v>35.002760000000002</v>
      </c>
      <c r="W54">
        <v>-106.512062</v>
      </c>
      <c r="X54">
        <v>2003</v>
      </c>
      <c r="Y54" t="s">
        <v>1005</v>
      </c>
      <c r="Z54" t="s">
        <v>1007</v>
      </c>
      <c r="AA54" t="s">
        <v>393</v>
      </c>
      <c r="AB54" t="s">
        <v>393</v>
      </c>
      <c r="AC54" t="s">
        <v>1241</v>
      </c>
      <c r="AD54" t="s">
        <v>1279</v>
      </c>
      <c r="AE54" t="s">
        <v>345</v>
      </c>
      <c r="AF54">
        <v>0.02</v>
      </c>
      <c r="AG54" t="s">
        <v>346</v>
      </c>
      <c r="AH54" t="s">
        <v>346</v>
      </c>
      <c r="AI54" t="s">
        <v>346</v>
      </c>
      <c r="AJ54" t="s">
        <v>592</v>
      </c>
      <c r="AK54">
        <v>306</v>
      </c>
      <c r="AL54" t="s">
        <v>1009</v>
      </c>
      <c r="AM54" t="s">
        <v>347</v>
      </c>
      <c r="AN54" t="s">
        <v>410</v>
      </c>
      <c r="AO54" t="s">
        <v>349</v>
      </c>
      <c r="AP54" t="s">
        <v>497</v>
      </c>
      <c r="AQ54" t="s">
        <v>368</v>
      </c>
      <c r="AR54" t="s">
        <v>369</v>
      </c>
      <c r="AS54">
        <v>160</v>
      </c>
      <c r="AT54" t="s">
        <v>349</v>
      </c>
      <c r="AU54" t="s">
        <v>367</v>
      </c>
      <c r="AV54" t="s">
        <v>367</v>
      </c>
      <c r="AW54" t="s">
        <v>349</v>
      </c>
      <c r="AX54" t="s">
        <v>367</v>
      </c>
      <c r="AY54" t="s">
        <v>349</v>
      </c>
      <c r="AZ54" t="s">
        <v>349</v>
      </c>
      <c r="BA54" t="s">
        <v>349</v>
      </c>
      <c r="BB54" t="s">
        <v>367</v>
      </c>
      <c r="BC54">
        <v>8</v>
      </c>
    </row>
    <row r="55" spans="1:55" ht="15" customHeight="1" x14ac:dyDescent="0.35">
      <c r="A55" t="s">
        <v>995</v>
      </c>
      <c r="B55" t="s">
        <v>1554</v>
      </c>
      <c r="C55" t="s">
        <v>97</v>
      </c>
      <c r="D55" t="s">
        <v>94</v>
      </c>
      <c r="E55">
        <v>2016</v>
      </c>
      <c r="F55" t="s">
        <v>98</v>
      </c>
      <c r="G55" t="s">
        <v>335</v>
      </c>
      <c r="H55" t="s">
        <v>335</v>
      </c>
      <c r="I55" t="s">
        <v>335</v>
      </c>
      <c r="J55" t="s">
        <v>339</v>
      </c>
      <c r="K55" t="s">
        <v>335</v>
      </c>
      <c r="L55" t="s">
        <v>335</v>
      </c>
      <c r="M55" t="s">
        <v>352</v>
      </c>
      <c r="N55" t="s">
        <v>352</v>
      </c>
      <c r="P55" t="s">
        <v>826</v>
      </c>
      <c r="Q55" t="s">
        <v>890</v>
      </c>
      <c r="R55" t="s">
        <v>908</v>
      </c>
      <c r="S55" t="s">
        <v>906</v>
      </c>
      <c r="T55" t="s">
        <v>348</v>
      </c>
      <c r="U55" t="s">
        <v>344</v>
      </c>
      <c r="V55">
        <v>35.002760000000002</v>
      </c>
      <c r="W55">
        <v>-106.512062</v>
      </c>
      <c r="X55">
        <v>2003</v>
      </c>
      <c r="Y55" t="s">
        <v>1005</v>
      </c>
      <c r="Z55" t="s">
        <v>1007</v>
      </c>
      <c r="AA55" t="s">
        <v>1236</v>
      </c>
      <c r="AB55" t="s">
        <v>384</v>
      </c>
      <c r="AC55" t="s">
        <v>1241</v>
      </c>
      <c r="AD55" t="s">
        <v>1279</v>
      </c>
      <c r="AE55" t="s">
        <v>345</v>
      </c>
      <c r="AF55">
        <v>0.09</v>
      </c>
      <c r="AG55" t="s">
        <v>346</v>
      </c>
      <c r="AH55" t="s">
        <v>346</v>
      </c>
      <c r="AI55" t="s">
        <v>346</v>
      </c>
      <c r="AJ55" t="s">
        <v>592</v>
      </c>
      <c r="AK55">
        <v>440</v>
      </c>
      <c r="AL55" t="s">
        <v>645</v>
      </c>
      <c r="AM55" t="s">
        <v>347</v>
      </c>
      <c r="AN55" t="s">
        <v>410</v>
      </c>
      <c r="AO55" t="s">
        <v>349</v>
      </c>
      <c r="AP55" t="s">
        <v>497</v>
      </c>
      <c r="AQ55" t="s">
        <v>368</v>
      </c>
      <c r="AR55" t="s">
        <v>369</v>
      </c>
      <c r="AS55">
        <v>160</v>
      </c>
      <c r="AT55" t="s">
        <v>349</v>
      </c>
      <c r="AU55" t="s">
        <v>367</v>
      </c>
      <c r="AV55" t="s">
        <v>367</v>
      </c>
      <c r="AW55" t="s">
        <v>349</v>
      </c>
      <c r="AX55" t="s">
        <v>367</v>
      </c>
      <c r="AY55" t="s">
        <v>349</v>
      </c>
      <c r="AZ55" t="s">
        <v>349</v>
      </c>
      <c r="BA55" t="s">
        <v>349</v>
      </c>
      <c r="BB55" t="s">
        <v>367</v>
      </c>
      <c r="BC55">
        <v>8</v>
      </c>
    </row>
    <row r="56" spans="1:55" ht="15" customHeight="1" x14ac:dyDescent="0.35">
      <c r="A56" t="s">
        <v>995</v>
      </c>
      <c r="B56" t="s">
        <v>1554</v>
      </c>
      <c r="C56" t="s">
        <v>97</v>
      </c>
      <c r="D56" t="s">
        <v>94</v>
      </c>
      <c r="E56">
        <v>2016</v>
      </c>
      <c r="F56" t="s">
        <v>98</v>
      </c>
      <c r="G56" t="s">
        <v>335</v>
      </c>
      <c r="H56" t="s">
        <v>335</v>
      </c>
      <c r="I56" t="s">
        <v>335</v>
      </c>
      <c r="J56" t="s">
        <v>339</v>
      </c>
      <c r="K56" t="s">
        <v>335</v>
      </c>
      <c r="L56" t="s">
        <v>335</v>
      </c>
      <c r="M56" t="s">
        <v>352</v>
      </c>
      <c r="N56" t="s">
        <v>352</v>
      </c>
      <c r="P56" t="s">
        <v>826</v>
      </c>
      <c r="Q56" t="s">
        <v>890</v>
      </c>
      <c r="R56" t="s">
        <v>908</v>
      </c>
      <c r="S56" t="s">
        <v>906</v>
      </c>
      <c r="T56" t="s">
        <v>348</v>
      </c>
      <c r="U56" t="s">
        <v>344</v>
      </c>
      <c r="V56">
        <v>35.002760000000002</v>
      </c>
      <c r="W56">
        <v>-106.512062</v>
      </c>
      <c r="X56">
        <v>2003</v>
      </c>
      <c r="Y56" t="s">
        <v>1005</v>
      </c>
      <c r="Z56" t="s">
        <v>1006</v>
      </c>
      <c r="AA56" t="s">
        <v>1236</v>
      </c>
      <c r="AB56" t="s">
        <v>384</v>
      </c>
      <c r="AC56" t="s">
        <v>1241</v>
      </c>
      <c r="AD56" t="s">
        <v>759</v>
      </c>
      <c r="AE56" t="s">
        <v>345</v>
      </c>
      <c r="AF56">
        <v>0.1</v>
      </c>
      <c r="AG56" t="s">
        <v>346</v>
      </c>
      <c r="AH56" t="s">
        <v>346</v>
      </c>
      <c r="AI56" t="s">
        <v>346</v>
      </c>
      <c r="AJ56" t="s">
        <v>592</v>
      </c>
      <c r="AK56">
        <v>440</v>
      </c>
      <c r="AL56" t="s">
        <v>645</v>
      </c>
      <c r="AM56" t="s">
        <v>347</v>
      </c>
      <c r="AN56" t="s">
        <v>410</v>
      </c>
      <c r="AO56" t="s">
        <v>349</v>
      </c>
      <c r="AP56" t="s">
        <v>497</v>
      </c>
      <c r="AQ56" t="s">
        <v>368</v>
      </c>
      <c r="AR56" t="s">
        <v>369</v>
      </c>
      <c r="AS56">
        <v>160</v>
      </c>
      <c r="AT56" t="s">
        <v>349</v>
      </c>
      <c r="AU56" t="s">
        <v>367</v>
      </c>
      <c r="AV56" t="s">
        <v>367</v>
      </c>
      <c r="AW56" t="s">
        <v>349</v>
      </c>
      <c r="AX56" t="s">
        <v>367</v>
      </c>
      <c r="AY56" t="s">
        <v>349</v>
      </c>
      <c r="AZ56" t="s">
        <v>349</v>
      </c>
      <c r="BA56" t="s">
        <v>349</v>
      </c>
      <c r="BB56" t="s">
        <v>367</v>
      </c>
      <c r="BC56">
        <v>8</v>
      </c>
    </row>
    <row r="57" spans="1:55" ht="15" customHeight="1" x14ac:dyDescent="0.35">
      <c r="A57" t="s">
        <v>995</v>
      </c>
      <c r="B57" t="s">
        <v>1554</v>
      </c>
      <c r="C57" t="s">
        <v>97</v>
      </c>
      <c r="D57" t="s">
        <v>94</v>
      </c>
      <c r="E57">
        <v>2016</v>
      </c>
      <c r="F57" t="s">
        <v>98</v>
      </c>
      <c r="G57" t="s">
        <v>335</v>
      </c>
      <c r="H57" t="s">
        <v>335</v>
      </c>
      <c r="I57" t="s">
        <v>335</v>
      </c>
      <c r="J57" t="s">
        <v>339</v>
      </c>
      <c r="K57" t="s">
        <v>335</v>
      </c>
      <c r="L57" t="s">
        <v>335</v>
      </c>
      <c r="M57" t="s">
        <v>352</v>
      </c>
      <c r="N57" t="s">
        <v>352</v>
      </c>
      <c r="P57" t="s">
        <v>826</v>
      </c>
      <c r="Q57" t="s">
        <v>890</v>
      </c>
      <c r="R57" t="s">
        <v>908</v>
      </c>
      <c r="S57" t="s">
        <v>906</v>
      </c>
      <c r="T57" t="s">
        <v>348</v>
      </c>
      <c r="U57" t="s">
        <v>344</v>
      </c>
      <c r="V57">
        <v>35.002760000000002</v>
      </c>
      <c r="W57">
        <v>-106.512062</v>
      </c>
      <c r="X57">
        <v>2003</v>
      </c>
      <c r="Y57" t="s">
        <v>1005</v>
      </c>
      <c r="Z57" t="s">
        <v>1008</v>
      </c>
      <c r="AA57" t="s">
        <v>1236</v>
      </c>
      <c r="AB57" t="s">
        <v>384</v>
      </c>
      <c r="AC57" t="s">
        <v>1241</v>
      </c>
      <c r="AD57" t="s">
        <v>1258</v>
      </c>
      <c r="AE57" t="s">
        <v>345</v>
      </c>
      <c r="AF57">
        <v>0.16</v>
      </c>
      <c r="AG57" t="s">
        <v>346</v>
      </c>
      <c r="AH57" t="s">
        <v>346</v>
      </c>
      <c r="AI57" t="s">
        <v>346</v>
      </c>
      <c r="AJ57" t="s">
        <v>592</v>
      </c>
      <c r="AK57">
        <v>440</v>
      </c>
      <c r="AL57" t="s">
        <v>645</v>
      </c>
      <c r="AM57" t="s">
        <v>347</v>
      </c>
      <c r="AN57" t="s">
        <v>410</v>
      </c>
      <c r="AO57" t="s">
        <v>349</v>
      </c>
      <c r="AP57" t="s">
        <v>497</v>
      </c>
      <c r="AQ57" t="s">
        <v>368</v>
      </c>
      <c r="AR57" t="s">
        <v>369</v>
      </c>
      <c r="AS57">
        <v>160</v>
      </c>
      <c r="AT57" t="s">
        <v>349</v>
      </c>
      <c r="AU57" t="s">
        <v>367</v>
      </c>
      <c r="AV57" t="s">
        <v>367</v>
      </c>
      <c r="AW57" t="s">
        <v>349</v>
      </c>
      <c r="AX57" t="s">
        <v>367</v>
      </c>
      <c r="AY57" t="s">
        <v>349</v>
      </c>
      <c r="AZ57" t="s">
        <v>349</v>
      </c>
      <c r="BA57" t="s">
        <v>349</v>
      </c>
      <c r="BB57" t="s">
        <v>367</v>
      </c>
      <c r="BC57">
        <v>8</v>
      </c>
    </row>
    <row r="58" spans="1:55" ht="15" customHeight="1" x14ac:dyDescent="0.35">
      <c r="A58" t="s">
        <v>995</v>
      </c>
      <c r="B58" t="s">
        <v>1555</v>
      </c>
      <c r="C58" t="s">
        <v>99</v>
      </c>
      <c r="D58" t="s">
        <v>100</v>
      </c>
      <c r="E58">
        <v>2016</v>
      </c>
      <c r="F58" t="s">
        <v>101</v>
      </c>
      <c r="G58" t="s">
        <v>335</v>
      </c>
      <c r="H58" t="s">
        <v>335</v>
      </c>
      <c r="I58" t="s">
        <v>335</v>
      </c>
      <c r="J58" t="s">
        <v>339</v>
      </c>
      <c r="K58" t="s">
        <v>335</v>
      </c>
      <c r="L58" t="s">
        <v>335</v>
      </c>
      <c r="M58" t="s">
        <v>352</v>
      </c>
      <c r="N58" t="s">
        <v>335</v>
      </c>
      <c r="O58" t="s">
        <v>1708</v>
      </c>
      <c r="P58" t="s">
        <v>581</v>
      </c>
      <c r="Q58" t="s">
        <v>582</v>
      </c>
      <c r="R58" t="s">
        <v>443</v>
      </c>
      <c r="S58" t="s">
        <v>444</v>
      </c>
      <c r="T58" t="s">
        <v>1266</v>
      </c>
      <c r="U58" t="s">
        <v>579</v>
      </c>
      <c r="V58">
        <v>36.689008999999999</v>
      </c>
      <c r="W58">
        <v>-6.150112</v>
      </c>
      <c r="X58">
        <v>74</v>
      </c>
      <c r="Y58" t="s">
        <v>580</v>
      </c>
      <c r="Z58" t="s">
        <v>577</v>
      </c>
      <c r="AA58" t="s">
        <v>393</v>
      </c>
      <c r="AB58" t="s">
        <v>393</v>
      </c>
      <c r="AC58" t="s">
        <v>1241</v>
      </c>
      <c r="AD58" t="s">
        <v>1258</v>
      </c>
      <c r="AE58" t="s">
        <v>345</v>
      </c>
      <c r="AF58">
        <v>10.7</v>
      </c>
      <c r="AG58" t="s">
        <v>346</v>
      </c>
      <c r="AH58" t="s">
        <v>346</v>
      </c>
      <c r="AI58" t="s">
        <v>346</v>
      </c>
      <c r="AJ58" t="s">
        <v>578</v>
      </c>
      <c r="AK58">
        <v>439</v>
      </c>
      <c r="AL58" t="s">
        <v>377</v>
      </c>
      <c r="AM58" t="s">
        <v>347</v>
      </c>
      <c r="AN58" t="s">
        <v>348</v>
      </c>
      <c r="AO58" t="s">
        <v>367</v>
      </c>
      <c r="AP58" t="s">
        <v>350</v>
      </c>
      <c r="AQ58" t="s">
        <v>368</v>
      </c>
      <c r="AR58" t="s">
        <v>369</v>
      </c>
      <c r="AS58">
        <v>3338</v>
      </c>
      <c r="AT58" t="s">
        <v>349</v>
      </c>
      <c r="AU58" t="s">
        <v>367</v>
      </c>
      <c r="AV58" t="s">
        <v>367</v>
      </c>
      <c r="AW58" t="s">
        <v>349</v>
      </c>
      <c r="AX58" t="s">
        <v>349</v>
      </c>
      <c r="AY58" t="s">
        <v>367</v>
      </c>
      <c r="AZ58" t="s">
        <v>349</v>
      </c>
      <c r="BA58" t="s">
        <v>349</v>
      </c>
      <c r="BB58" t="s">
        <v>349</v>
      </c>
      <c r="BC58">
        <v>4</v>
      </c>
    </row>
    <row r="59" spans="1:55" ht="15" customHeight="1" x14ac:dyDescent="0.35">
      <c r="A59" t="s">
        <v>995</v>
      </c>
      <c r="B59" t="s">
        <v>1556</v>
      </c>
      <c r="C59" t="s">
        <v>102</v>
      </c>
      <c r="D59" t="s">
        <v>103</v>
      </c>
      <c r="E59">
        <v>2020</v>
      </c>
      <c r="F59" t="s">
        <v>104</v>
      </c>
      <c r="G59" t="s">
        <v>335</v>
      </c>
      <c r="H59" t="s">
        <v>335</v>
      </c>
      <c r="I59" t="s">
        <v>335</v>
      </c>
      <c r="J59" t="s">
        <v>339</v>
      </c>
      <c r="K59" t="s">
        <v>335</v>
      </c>
      <c r="L59" t="s">
        <v>335</v>
      </c>
      <c r="M59" t="s">
        <v>352</v>
      </c>
      <c r="N59" t="s">
        <v>352</v>
      </c>
      <c r="P59" t="s">
        <v>587</v>
      </c>
      <c r="Q59" t="s">
        <v>584</v>
      </c>
      <c r="R59" t="s">
        <v>585</v>
      </c>
      <c r="S59" t="s">
        <v>583</v>
      </c>
      <c r="T59" t="s">
        <v>1235</v>
      </c>
      <c r="U59" t="s">
        <v>1280</v>
      </c>
      <c r="V59">
        <v>52.44</v>
      </c>
      <c r="W59">
        <v>23.51</v>
      </c>
      <c r="X59">
        <v>170</v>
      </c>
      <c r="Y59" t="s">
        <v>586</v>
      </c>
      <c r="Z59" t="s">
        <v>864</v>
      </c>
      <c r="AA59" t="s">
        <v>1236</v>
      </c>
      <c r="AB59" t="s">
        <v>441</v>
      </c>
      <c r="AC59" t="s">
        <v>1237</v>
      </c>
      <c r="AD59" t="s">
        <v>961</v>
      </c>
      <c r="AE59" t="s">
        <v>364</v>
      </c>
      <c r="AF59">
        <v>48.05</v>
      </c>
      <c r="AG59">
        <v>21.19</v>
      </c>
      <c r="AH59" t="s">
        <v>346</v>
      </c>
      <c r="AI59" t="s">
        <v>346</v>
      </c>
      <c r="AJ59" t="s">
        <v>592</v>
      </c>
      <c r="AK59" t="s">
        <v>346</v>
      </c>
      <c r="AL59" t="s">
        <v>377</v>
      </c>
      <c r="AM59" t="s">
        <v>347</v>
      </c>
      <c r="AN59" t="s">
        <v>410</v>
      </c>
      <c r="AO59" t="s">
        <v>367</v>
      </c>
      <c r="AP59" t="s">
        <v>411</v>
      </c>
      <c r="AQ59" t="s">
        <v>368</v>
      </c>
      <c r="AR59" t="s">
        <v>369</v>
      </c>
      <c r="AS59">
        <v>12</v>
      </c>
      <c r="AT59" t="s">
        <v>349</v>
      </c>
      <c r="AU59" t="s">
        <v>367</v>
      </c>
      <c r="AV59" t="s">
        <v>367</v>
      </c>
      <c r="AW59" t="s">
        <v>367</v>
      </c>
      <c r="AX59" t="s">
        <v>367</v>
      </c>
      <c r="AY59" t="s">
        <v>367</v>
      </c>
      <c r="AZ59" t="s">
        <v>367</v>
      </c>
      <c r="BA59" t="s">
        <v>367</v>
      </c>
      <c r="BB59" t="s">
        <v>367</v>
      </c>
      <c r="BC59">
        <v>6</v>
      </c>
    </row>
    <row r="60" spans="1:55" ht="15" customHeight="1" x14ac:dyDescent="0.35">
      <c r="A60" t="s">
        <v>995</v>
      </c>
      <c r="B60" t="s">
        <v>1557</v>
      </c>
      <c r="C60" t="s">
        <v>105</v>
      </c>
      <c r="D60" t="s">
        <v>106</v>
      </c>
      <c r="E60">
        <v>2022</v>
      </c>
      <c r="F60" t="s">
        <v>107</v>
      </c>
      <c r="G60" t="s">
        <v>335</v>
      </c>
      <c r="H60" t="s">
        <v>335</v>
      </c>
      <c r="I60" t="s">
        <v>335</v>
      </c>
      <c r="J60" t="s">
        <v>339</v>
      </c>
      <c r="K60" t="s">
        <v>335</v>
      </c>
      <c r="L60" t="s">
        <v>335</v>
      </c>
      <c r="M60" t="s">
        <v>352</v>
      </c>
      <c r="N60" t="s">
        <v>352</v>
      </c>
      <c r="O60" t="s">
        <v>1707</v>
      </c>
      <c r="P60" t="s">
        <v>412</v>
      </c>
      <c r="Q60" t="s">
        <v>413</v>
      </c>
      <c r="R60" t="s">
        <v>414</v>
      </c>
      <c r="S60" t="s">
        <v>415</v>
      </c>
      <c r="T60" t="s">
        <v>348</v>
      </c>
      <c r="U60" t="s">
        <v>344</v>
      </c>
      <c r="V60">
        <v>-28.52</v>
      </c>
      <c r="W60">
        <v>24.5</v>
      </c>
      <c r="X60">
        <v>1190</v>
      </c>
      <c r="Y60" t="s">
        <v>727</v>
      </c>
      <c r="Z60" t="s">
        <v>1281</v>
      </c>
      <c r="AA60" t="s">
        <v>1236</v>
      </c>
      <c r="AB60" t="s">
        <v>1282</v>
      </c>
      <c r="AC60" t="s">
        <v>1241</v>
      </c>
      <c r="AD60" t="s">
        <v>1283</v>
      </c>
      <c r="AE60" t="s">
        <v>364</v>
      </c>
      <c r="AF60">
        <v>-0.74</v>
      </c>
      <c r="AG60" t="s">
        <v>346</v>
      </c>
      <c r="AH60">
        <v>-1.01</v>
      </c>
      <c r="AI60">
        <v>-0.47</v>
      </c>
      <c r="AJ60" t="s">
        <v>592</v>
      </c>
      <c r="AK60">
        <v>772</v>
      </c>
      <c r="AL60" t="s">
        <v>527</v>
      </c>
      <c r="AM60" t="s">
        <v>347</v>
      </c>
      <c r="AN60" t="s">
        <v>410</v>
      </c>
      <c r="AO60" t="s">
        <v>367</v>
      </c>
      <c r="AP60" t="s">
        <v>768</v>
      </c>
      <c r="AQ60" t="s">
        <v>368</v>
      </c>
      <c r="AR60" t="s">
        <v>545</v>
      </c>
      <c r="AS60">
        <v>29</v>
      </c>
      <c r="AT60" t="s">
        <v>349</v>
      </c>
      <c r="AU60" t="s">
        <v>349</v>
      </c>
      <c r="AV60" t="s">
        <v>367</v>
      </c>
      <c r="AW60" t="s">
        <v>367</v>
      </c>
      <c r="AX60" t="s">
        <v>367</v>
      </c>
      <c r="AY60" t="s">
        <v>367</v>
      </c>
      <c r="AZ60" t="s">
        <v>367</v>
      </c>
      <c r="BA60" t="s">
        <v>367</v>
      </c>
      <c r="BB60" t="s">
        <v>367</v>
      </c>
      <c r="BC60">
        <v>3.5</v>
      </c>
    </row>
    <row r="61" spans="1:55" ht="15" customHeight="1" x14ac:dyDescent="0.35">
      <c r="A61" t="s">
        <v>1065</v>
      </c>
      <c r="B61" t="s">
        <v>1558</v>
      </c>
      <c r="C61" s="6" t="s">
        <v>1091</v>
      </c>
      <c r="D61" s="6" t="s">
        <v>1092</v>
      </c>
      <c r="E61">
        <v>2015</v>
      </c>
      <c r="G61" t="s">
        <v>335</v>
      </c>
      <c r="H61" t="s">
        <v>335</v>
      </c>
      <c r="I61" t="s">
        <v>335</v>
      </c>
      <c r="J61" t="s">
        <v>339</v>
      </c>
      <c r="K61" t="s">
        <v>335</v>
      </c>
      <c r="L61" t="s">
        <v>335</v>
      </c>
      <c r="M61" t="s">
        <v>352</v>
      </c>
      <c r="N61" t="s">
        <v>335</v>
      </c>
      <c r="P61" t="s">
        <v>1093</v>
      </c>
      <c r="Q61" t="s">
        <v>481</v>
      </c>
      <c r="R61" t="s">
        <v>1094</v>
      </c>
      <c r="S61" t="s">
        <v>1095</v>
      </c>
      <c r="T61" t="s">
        <v>348</v>
      </c>
      <c r="U61" t="s">
        <v>344</v>
      </c>
      <c r="V61">
        <v>38.519713000000003</v>
      </c>
      <c r="W61">
        <v>-106.691456</v>
      </c>
      <c r="X61">
        <v>2600</v>
      </c>
      <c r="Y61" t="s">
        <v>1096</v>
      </c>
      <c r="Z61" t="s">
        <v>1284</v>
      </c>
      <c r="AA61" t="s">
        <v>1236</v>
      </c>
      <c r="AB61" t="s">
        <v>384</v>
      </c>
      <c r="AC61" t="s">
        <v>1241</v>
      </c>
      <c r="AD61" t="s">
        <v>1258</v>
      </c>
      <c r="AE61" t="s">
        <v>354</v>
      </c>
      <c r="AF61">
        <v>0</v>
      </c>
      <c r="AG61">
        <v>0</v>
      </c>
      <c r="AH61" t="s">
        <v>346</v>
      </c>
      <c r="AI61" t="s">
        <v>346</v>
      </c>
      <c r="AJ61" t="s">
        <v>1097</v>
      </c>
      <c r="AK61">
        <v>197</v>
      </c>
      <c r="AL61" t="s">
        <v>377</v>
      </c>
      <c r="AM61" t="s">
        <v>339</v>
      </c>
      <c r="AN61" t="s">
        <v>348</v>
      </c>
      <c r="AO61" t="s">
        <v>349</v>
      </c>
      <c r="AP61" t="s">
        <v>492</v>
      </c>
      <c r="AQ61" t="s">
        <v>351</v>
      </c>
      <c r="AR61" t="s">
        <v>356</v>
      </c>
      <c r="AS61">
        <v>1650</v>
      </c>
      <c r="AT61" t="s">
        <v>349</v>
      </c>
      <c r="AU61" t="s">
        <v>349</v>
      </c>
      <c r="AV61" t="s">
        <v>367</v>
      </c>
      <c r="AW61" t="s">
        <v>367</v>
      </c>
      <c r="AX61" t="s">
        <v>367</v>
      </c>
      <c r="AY61" t="s">
        <v>367</v>
      </c>
      <c r="AZ61" t="s">
        <v>367</v>
      </c>
      <c r="BA61" t="s">
        <v>367</v>
      </c>
      <c r="BB61" t="s">
        <v>367</v>
      </c>
      <c r="BC61">
        <v>6.5</v>
      </c>
    </row>
    <row r="62" spans="1:55" ht="15" customHeight="1" x14ac:dyDescent="0.35">
      <c r="A62" t="s">
        <v>1065</v>
      </c>
      <c r="B62" t="s">
        <v>1559</v>
      </c>
      <c r="C62" t="s">
        <v>1108</v>
      </c>
      <c r="D62" t="s">
        <v>47</v>
      </c>
      <c r="E62">
        <v>2009</v>
      </c>
      <c r="F62" t="s">
        <v>1109</v>
      </c>
      <c r="G62" t="s">
        <v>335</v>
      </c>
      <c r="H62" t="s">
        <v>335</v>
      </c>
      <c r="I62" t="s">
        <v>335</v>
      </c>
      <c r="J62" t="s">
        <v>339</v>
      </c>
      <c r="K62" t="s">
        <v>335</v>
      </c>
      <c r="L62" t="s">
        <v>335</v>
      </c>
      <c r="M62" t="s">
        <v>352</v>
      </c>
      <c r="N62" t="s">
        <v>335</v>
      </c>
      <c r="P62" t="s">
        <v>756</v>
      </c>
      <c r="Q62" t="s">
        <v>1177</v>
      </c>
      <c r="R62" t="s">
        <v>1178</v>
      </c>
      <c r="S62" t="s">
        <v>1176</v>
      </c>
      <c r="T62" t="s">
        <v>1235</v>
      </c>
      <c r="U62" t="s">
        <v>1239</v>
      </c>
      <c r="V62">
        <v>32.43</v>
      </c>
      <c r="W62">
        <v>-110.76</v>
      </c>
      <c r="X62">
        <v>2500</v>
      </c>
      <c r="Y62">
        <v>2008</v>
      </c>
      <c r="AA62" t="s">
        <v>1236</v>
      </c>
      <c r="AB62" t="s">
        <v>1179</v>
      </c>
      <c r="AC62" t="s">
        <v>366</v>
      </c>
      <c r="AD62" t="s">
        <v>1180</v>
      </c>
      <c r="AE62" t="s">
        <v>364</v>
      </c>
      <c r="AF62" t="s">
        <v>346</v>
      </c>
      <c r="AG62" t="s">
        <v>346</v>
      </c>
      <c r="AH62" t="s">
        <v>346</v>
      </c>
      <c r="AI62" t="s">
        <v>346</v>
      </c>
      <c r="AJ62" t="s">
        <v>339</v>
      </c>
      <c r="AK62">
        <v>19</v>
      </c>
      <c r="AL62" t="s">
        <v>645</v>
      </c>
      <c r="AM62" t="s">
        <v>452</v>
      </c>
      <c r="AN62" t="s">
        <v>410</v>
      </c>
      <c r="AO62" t="s">
        <v>349</v>
      </c>
      <c r="AP62" t="s">
        <v>386</v>
      </c>
      <c r="AQ62" t="s">
        <v>368</v>
      </c>
      <c r="AR62" t="s">
        <v>369</v>
      </c>
      <c r="AS62">
        <v>10</v>
      </c>
      <c r="AT62" t="s">
        <v>349</v>
      </c>
      <c r="AU62" t="s">
        <v>367</v>
      </c>
      <c r="AV62" t="s">
        <v>367</v>
      </c>
      <c r="AW62" t="s">
        <v>367</v>
      </c>
      <c r="AX62" t="s">
        <v>367</v>
      </c>
      <c r="AY62" t="s">
        <v>367</v>
      </c>
      <c r="AZ62" t="s">
        <v>367</v>
      </c>
      <c r="BA62" t="s">
        <v>367</v>
      </c>
      <c r="BB62" t="s">
        <v>367</v>
      </c>
      <c r="BC62">
        <v>4.5</v>
      </c>
    </row>
    <row r="63" spans="1:55" ht="15" customHeight="1" x14ac:dyDescent="0.35">
      <c r="A63" t="s">
        <v>1065</v>
      </c>
      <c r="B63" t="s">
        <v>1560</v>
      </c>
      <c r="C63" t="s">
        <v>1110</v>
      </c>
      <c r="D63" t="s">
        <v>32</v>
      </c>
      <c r="E63">
        <v>2015</v>
      </c>
      <c r="F63" t="s">
        <v>1111</v>
      </c>
      <c r="G63" t="s">
        <v>335</v>
      </c>
      <c r="H63" t="s">
        <v>335</v>
      </c>
      <c r="I63" t="s">
        <v>335</v>
      </c>
      <c r="J63" t="s">
        <v>339</v>
      </c>
      <c r="K63" t="s">
        <v>335</v>
      </c>
      <c r="L63" t="s">
        <v>335</v>
      </c>
      <c r="M63" t="s">
        <v>352</v>
      </c>
      <c r="N63" t="s">
        <v>352</v>
      </c>
      <c r="P63" t="s">
        <v>1030</v>
      </c>
      <c r="Q63" t="s">
        <v>1183</v>
      </c>
      <c r="R63" t="s">
        <v>1182</v>
      </c>
      <c r="S63" t="s">
        <v>1181</v>
      </c>
      <c r="T63" t="s">
        <v>1249</v>
      </c>
      <c r="U63" t="s">
        <v>422</v>
      </c>
      <c r="V63">
        <v>-71.53</v>
      </c>
      <c r="W63">
        <v>5.0999999999999996</v>
      </c>
      <c r="X63">
        <v>1145</v>
      </c>
      <c r="Y63" t="s">
        <v>1184</v>
      </c>
      <c r="AA63" t="s">
        <v>393</v>
      </c>
      <c r="AB63" t="s">
        <v>1141</v>
      </c>
      <c r="AC63" t="s">
        <v>366</v>
      </c>
      <c r="AD63" t="s">
        <v>1285</v>
      </c>
      <c r="AE63" t="s">
        <v>364</v>
      </c>
      <c r="AF63">
        <v>-18372</v>
      </c>
      <c r="AG63">
        <v>4530</v>
      </c>
      <c r="AH63" t="s">
        <v>346</v>
      </c>
      <c r="AI63" t="s">
        <v>346</v>
      </c>
      <c r="AJ63" t="s">
        <v>592</v>
      </c>
      <c r="AK63">
        <v>12</v>
      </c>
      <c r="AL63" t="s">
        <v>807</v>
      </c>
      <c r="AM63" t="s">
        <v>347</v>
      </c>
      <c r="AN63" t="s">
        <v>348</v>
      </c>
      <c r="AO63" t="s">
        <v>349</v>
      </c>
      <c r="AP63" t="s">
        <v>355</v>
      </c>
      <c r="AQ63" t="s">
        <v>368</v>
      </c>
      <c r="AR63" t="s">
        <v>369</v>
      </c>
      <c r="AS63">
        <v>638</v>
      </c>
      <c r="AT63" t="s">
        <v>349</v>
      </c>
      <c r="AU63" t="s">
        <v>367</v>
      </c>
      <c r="AV63" t="s">
        <v>367</v>
      </c>
      <c r="AW63" t="s">
        <v>367</v>
      </c>
      <c r="AX63" t="s">
        <v>349</v>
      </c>
      <c r="AY63" t="s">
        <v>367</v>
      </c>
      <c r="AZ63" t="s">
        <v>367</v>
      </c>
      <c r="BA63" t="s">
        <v>367</v>
      </c>
      <c r="BB63" t="s">
        <v>367</v>
      </c>
      <c r="BC63">
        <v>1</v>
      </c>
    </row>
    <row r="64" spans="1:55" ht="15" customHeight="1" x14ac:dyDescent="0.35">
      <c r="A64" t="s">
        <v>1065</v>
      </c>
      <c r="B64" t="s">
        <v>1560</v>
      </c>
      <c r="C64" t="s">
        <v>1110</v>
      </c>
      <c r="D64" t="s">
        <v>32</v>
      </c>
      <c r="E64">
        <v>2015</v>
      </c>
      <c r="F64" t="s">
        <v>1111</v>
      </c>
      <c r="G64" t="s">
        <v>335</v>
      </c>
      <c r="H64" t="s">
        <v>335</v>
      </c>
      <c r="I64" t="s">
        <v>335</v>
      </c>
      <c r="J64" t="s">
        <v>339</v>
      </c>
      <c r="K64" t="s">
        <v>335</v>
      </c>
      <c r="L64" t="s">
        <v>335</v>
      </c>
      <c r="M64" t="s">
        <v>352</v>
      </c>
      <c r="N64" t="s">
        <v>335</v>
      </c>
      <c r="P64" t="s">
        <v>1030</v>
      </c>
      <c r="Q64" t="s">
        <v>1183</v>
      </c>
      <c r="R64" t="s">
        <v>1182</v>
      </c>
      <c r="S64" t="s">
        <v>1181</v>
      </c>
      <c r="T64" t="s">
        <v>1249</v>
      </c>
      <c r="U64" t="s">
        <v>422</v>
      </c>
      <c r="V64">
        <v>-71.53</v>
      </c>
      <c r="W64">
        <v>5.0999999999999996</v>
      </c>
      <c r="X64">
        <v>1145</v>
      </c>
      <c r="Y64" t="s">
        <v>453</v>
      </c>
      <c r="Z64" t="s">
        <v>1185</v>
      </c>
      <c r="AA64" t="s">
        <v>1247</v>
      </c>
      <c r="AB64" t="s">
        <v>400</v>
      </c>
      <c r="AC64" t="s">
        <v>366</v>
      </c>
      <c r="AD64" t="s">
        <v>1288</v>
      </c>
      <c r="AE64" t="s">
        <v>364</v>
      </c>
      <c r="AF64" t="s">
        <v>346</v>
      </c>
      <c r="AG64" t="s">
        <v>346</v>
      </c>
      <c r="AH64" t="s">
        <v>346</v>
      </c>
      <c r="AI64" t="s">
        <v>346</v>
      </c>
      <c r="AJ64" t="s">
        <v>339</v>
      </c>
      <c r="AK64">
        <v>358</v>
      </c>
      <c r="AL64" t="s">
        <v>377</v>
      </c>
      <c r="AM64" t="s">
        <v>366</v>
      </c>
      <c r="AN64" t="s">
        <v>348</v>
      </c>
      <c r="AO64" t="s">
        <v>349</v>
      </c>
      <c r="AP64" t="s">
        <v>355</v>
      </c>
      <c r="AQ64" t="s">
        <v>368</v>
      </c>
      <c r="AR64" t="s">
        <v>369</v>
      </c>
      <c r="AS64">
        <v>638</v>
      </c>
      <c r="AT64" t="s">
        <v>349</v>
      </c>
      <c r="AU64" t="s">
        <v>367</v>
      </c>
      <c r="AV64" t="s">
        <v>367</v>
      </c>
      <c r="AW64" t="s">
        <v>367</v>
      </c>
      <c r="AX64" t="s">
        <v>349</v>
      </c>
      <c r="AY64" t="s">
        <v>367</v>
      </c>
      <c r="AZ64" t="s">
        <v>367</v>
      </c>
      <c r="BA64" t="s">
        <v>367</v>
      </c>
      <c r="BB64" t="s">
        <v>367</v>
      </c>
      <c r="BC64">
        <v>1</v>
      </c>
    </row>
    <row r="65" spans="1:55" ht="15" customHeight="1" x14ac:dyDescent="0.35">
      <c r="A65" t="s">
        <v>1065</v>
      </c>
      <c r="B65" t="s">
        <v>1560</v>
      </c>
      <c r="C65" t="s">
        <v>1110</v>
      </c>
      <c r="D65" t="s">
        <v>32</v>
      </c>
      <c r="E65">
        <v>2015</v>
      </c>
      <c r="F65" t="s">
        <v>1111</v>
      </c>
      <c r="G65" t="s">
        <v>335</v>
      </c>
      <c r="H65" t="s">
        <v>335</v>
      </c>
      <c r="I65" t="s">
        <v>335</v>
      </c>
      <c r="J65" t="s">
        <v>339</v>
      </c>
      <c r="K65" t="s">
        <v>335</v>
      </c>
      <c r="L65" t="s">
        <v>335</v>
      </c>
      <c r="M65" t="s">
        <v>352</v>
      </c>
      <c r="N65" t="s">
        <v>352</v>
      </c>
      <c r="P65" t="s">
        <v>1030</v>
      </c>
      <c r="Q65" t="s">
        <v>1183</v>
      </c>
      <c r="R65" t="s">
        <v>1182</v>
      </c>
      <c r="S65" t="s">
        <v>1181</v>
      </c>
      <c r="T65" t="s">
        <v>1249</v>
      </c>
      <c r="U65" t="s">
        <v>422</v>
      </c>
      <c r="V65">
        <v>-71.53</v>
      </c>
      <c r="W65">
        <v>5.0999999999999996</v>
      </c>
      <c r="X65">
        <v>1145</v>
      </c>
      <c r="Y65" t="s">
        <v>1184</v>
      </c>
      <c r="AA65" t="s">
        <v>393</v>
      </c>
      <c r="AB65" t="s">
        <v>1141</v>
      </c>
      <c r="AC65" t="s">
        <v>1241</v>
      </c>
      <c r="AD65" t="s">
        <v>1286</v>
      </c>
      <c r="AE65" t="s">
        <v>364</v>
      </c>
      <c r="AF65">
        <v>-4883</v>
      </c>
      <c r="AG65">
        <v>1223</v>
      </c>
      <c r="AH65" t="s">
        <v>346</v>
      </c>
      <c r="AI65" t="s">
        <v>346</v>
      </c>
      <c r="AJ65" t="s">
        <v>592</v>
      </c>
      <c r="AK65">
        <v>12</v>
      </c>
      <c r="AL65" t="s">
        <v>807</v>
      </c>
      <c r="AM65" t="s">
        <v>347</v>
      </c>
      <c r="AN65" t="s">
        <v>348</v>
      </c>
      <c r="AO65" t="s">
        <v>349</v>
      </c>
      <c r="AP65" t="s">
        <v>355</v>
      </c>
      <c r="AQ65" t="s">
        <v>368</v>
      </c>
      <c r="AR65" t="s">
        <v>369</v>
      </c>
      <c r="AS65">
        <v>638</v>
      </c>
      <c r="AT65" t="s">
        <v>349</v>
      </c>
      <c r="AU65" t="s">
        <v>367</v>
      </c>
      <c r="AV65" t="s">
        <v>367</v>
      </c>
      <c r="AW65" t="s">
        <v>367</v>
      </c>
      <c r="AX65" t="s">
        <v>349</v>
      </c>
      <c r="AY65" t="s">
        <v>367</v>
      </c>
      <c r="AZ65" t="s">
        <v>367</v>
      </c>
      <c r="BA65" t="s">
        <v>367</v>
      </c>
      <c r="BB65" t="s">
        <v>367</v>
      </c>
      <c r="BC65">
        <v>1</v>
      </c>
    </row>
    <row r="66" spans="1:55" ht="15" customHeight="1" x14ac:dyDescent="0.35">
      <c r="A66" t="s">
        <v>1065</v>
      </c>
      <c r="B66" t="s">
        <v>1560</v>
      </c>
      <c r="C66" t="s">
        <v>1110</v>
      </c>
      <c r="D66" t="s">
        <v>32</v>
      </c>
      <c r="E66">
        <v>2015</v>
      </c>
      <c r="F66" t="s">
        <v>1111</v>
      </c>
      <c r="G66" t="s">
        <v>335</v>
      </c>
      <c r="H66" t="s">
        <v>335</v>
      </c>
      <c r="I66" t="s">
        <v>335</v>
      </c>
      <c r="J66" t="s">
        <v>339</v>
      </c>
      <c r="K66" t="s">
        <v>335</v>
      </c>
      <c r="L66" t="s">
        <v>335</v>
      </c>
      <c r="M66" t="s">
        <v>352</v>
      </c>
      <c r="N66" t="s">
        <v>352</v>
      </c>
      <c r="P66" t="s">
        <v>1030</v>
      </c>
      <c r="Q66" t="s">
        <v>1183</v>
      </c>
      <c r="R66" t="s">
        <v>1182</v>
      </c>
      <c r="S66" t="s">
        <v>1181</v>
      </c>
      <c r="T66" t="s">
        <v>1249</v>
      </c>
      <c r="U66" t="s">
        <v>422</v>
      </c>
      <c r="V66">
        <v>-71.53</v>
      </c>
      <c r="W66">
        <v>5.0999999999999996</v>
      </c>
      <c r="X66">
        <v>1145</v>
      </c>
      <c r="Y66" t="s">
        <v>1184</v>
      </c>
      <c r="AA66" t="s">
        <v>393</v>
      </c>
      <c r="AB66" t="s">
        <v>1141</v>
      </c>
      <c r="AC66" t="s">
        <v>1241</v>
      </c>
      <c r="AD66" t="s">
        <v>1287</v>
      </c>
      <c r="AE66" t="s">
        <v>345</v>
      </c>
      <c r="AF66">
        <v>3958</v>
      </c>
      <c r="AG66">
        <v>1516</v>
      </c>
      <c r="AH66" t="s">
        <v>346</v>
      </c>
      <c r="AI66" t="s">
        <v>346</v>
      </c>
      <c r="AJ66" t="s">
        <v>592</v>
      </c>
      <c r="AK66">
        <v>12</v>
      </c>
      <c r="AL66" t="s">
        <v>807</v>
      </c>
      <c r="AM66" t="s">
        <v>347</v>
      </c>
      <c r="AN66" t="s">
        <v>348</v>
      </c>
      <c r="AO66" t="s">
        <v>349</v>
      </c>
      <c r="AP66" t="s">
        <v>355</v>
      </c>
      <c r="AQ66" t="s">
        <v>368</v>
      </c>
      <c r="AR66" t="s">
        <v>369</v>
      </c>
      <c r="AS66">
        <v>638</v>
      </c>
      <c r="AT66" t="s">
        <v>349</v>
      </c>
      <c r="AU66" t="s">
        <v>367</v>
      </c>
      <c r="AV66" t="s">
        <v>367</v>
      </c>
      <c r="AW66" t="s">
        <v>367</v>
      </c>
      <c r="AX66" t="s">
        <v>349</v>
      </c>
      <c r="AY66" t="s">
        <v>367</v>
      </c>
      <c r="AZ66" t="s">
        <v>367</v>
      </c>
      <c r="BA66" t="s">
        <v>367</v>
      </c>
      <c r="BB66" t="s">
        <v>367</v>
      </c>
      <c r="BC66">
        <v>1</v>
      </c>
    </row>
    <row r="67" spans="1:55" ht="15" customHeight="1" x14ac:dyDescent="0.35">
      <c r="A67" t="s">
        <v>995</v>
      </c>
      <c r="B67" t="s">
        <v>1561</v>
      </c>
      <c r="C67" t="s">
        <v>109</v>
      </c>
      <c r="D67" t="s">
        <v>94</v>
      </c>
      <c r="E67">
        <v>2008</v>
      </c>
      <c r="F67" t="s">
        <v>110</v>
      </c>
      <c r="G67" t="s">
        <v>335</v>
      </c>
      <c r="H67" t="s">
        <v>335</v>
      </c>
      <c r="I67" t="s">
        <v>335</v>
      </c>
      <c r="J67" t="s">
        <v>339</v>
      </c>
      <c r="K67" t="s">
        <v>335</v>
      </c>
      <c r="L67" t="s">
        <v>335</v>
      </c>
      <c r="M67" t="s">
        <v>352</v>
      </c>
      <c r="N67" t="s">
        <v>352</v>
      </c>
      <c r="P67" t="s">
        <v>353</v>
      </c>
      <c r="Q67" t="s">
        <v>425</v>
      </c>
      <c r="R67" t="s">
        <v>697</v>
      </c>
      <c r="S67" t="s">
        <v>696</v>
      </c>
      <c r="T67" t="s">
        <v>348</v>
      </c>
      <c r="U67" t="s">
        <v>344</v>
      </c>
      <c r="V67">
        <v>73.08</v>
      </c>
      <c r="W67">
        <v>-80</v>
      </c>
      <c r="X67">
        <v>1096</v>
      </c>
      <c r="Y67" t="s">
        <v>426</v>
      </c>
      <c r="Z67" t="s">
        <v>1050</v>
      </c>
      <c r="AA67" t="s">
        <v>1236</v>
      </c>
      <c r="AB67" t="s">
        <v>384</v>
      </c>
      <c r="AC67" t="s">
        <v>1237</v>
      </c>
      <c r="AD67" t="s">
        <v>1049</v>
      </c>
      <c r="AE67" t="s">
        <v>345</v>
      </c>
      <c r="AF67">
        <v>4.9000000000000002E-2</v>
      </c>
      <c r="AG67">
        <v>3.0000000000000001E-3</v>
      </c>
      <c r="AH67" t="s">
        <v>346</v>
      </c>
      <c r="AI67" t="s">
        <v>346</v>
      </c>
      <c r="AJ67" t="s">
        <v>592</v>
      </c>
      <c r="AK67">
        <v>3978</v>
      </c>
      <c r="AL67" t="s">
        <v>377</v>
      </c>
      <c r="AM67" t="s">
        <v>347</v>
      </c>
      <c r="AN67" t="s">
        <v>348</v>
      </c>
      <c r="AO67" t="s">
        <v>349</v>
      </c>
      <c r="AP67" t="s">
        <v>355</v>
      </c>
      <c r="AQ67" t="s">
        <v>351</v>
      </c>
      <c r="AR67" t="s">
        <v>369</v>
      </c>
      <c r="AS67">
        <v>2333</v>
      </c>
      <c r="AT67" t="s">
        <v>367</v>
      </c>
      <c r="AU67" t="s">
        <v>349</v>
      </c>
      <c r="AV67" t="s">
        <v>367</v>
      </c>
      <c r="AW67" t="s">
        <v>367</v>
      </c>
      <c r="AX67" t="s">
        <v>367</v>
      </c>
      <c r="AY67" t="s">
        <v>367</v>
      </c>
      <c r="AZ67" t="s">
        <v>367</v>
      </c>
      <c r="BA67" t="s">
        <v>367</v>
      </c>
      <c r="BB67" t="s">
        <v>367</v>
      </c>
      <c r="BC67">
        <v>4</v>
      </c>
    </row>
    <row r="68" spans="1:55" ht="15" customHeight="1" x14ac:dyDescent="0.35">
      <c r="A68" t="s">
        <v>995</v>
      </c>
      <c r="B68" t="s">
        <v>1561</v>
      </c>
      <c r="C68" t="s">
        <v>109</v>
      </c>
      <c r="D68" t="s">
        <v>94</v>
      </c>
      <c r="E68">
        <v>2008</v>
      </c>
      <c r="F68" t="s">
        <v>110</v>
      </c>
      <c r="G68" t="s">
        <v>335</v>
      </c>
      <c r="H68" t="s">
        <v>335</v>
      </c>
      <c r="I68" t="s">
        <v>335</v>
      </c>
      <c r="J68" t="s">
        <v>339</v>
      </c>
      <c r="K68" t="s">
        <v>335</v>
      </c>
      <c r="L68" t="s">
        <v>335</v>
      </c>
      <c r="M68" t="s">
        <v>352</v>
      </c>
      <c r="N68" t="s">
        <v>352</v>
      </c>
      <c r="P68" t="s">
        <v>353</v>
      </c>
      <c r="Q68" t="s">
        <v>425</v>
      </c>
      <c r="R68" t="s">
        <v>697</v>
      </c>
      <c r="S68" t="s">
        <v>696</v>
      </c>
      <c r="T68" t="s">
        <v>348</v>
      </c>
      <c r="U68" t="s">
        <v>344</v>
      </c>
      <c r="V68">
        <v>73.08</v>
      </c>
      <c r="W68">
        <v>-80</v>
      </c>
      <c r="X68">
        <v>1096</v>
      </c>
      <c r="Y68" t="s">
        <v>426</v>
      </c>
      <c r="Z68" t="s">
        <v>1050</v>
      </c>
      <c r="AA68" t="s">
        <v>1236</v>
      </c>
      <c r="AB68" t="s">
        <v>384</v>
      </c>
      <c r="AC68" t="s">
        <v>1237</v>
      </c>
      <c r="AD68" t="s">
        <v>1049</v>
      </c>
      <c r="AE68" t="s">
        <v>345</v>
      </c>
      <c r="AF68">
        <v>5.8999999999999997E-2</v>
      </c>
      <c r="AG68">
        <v>1.7999999999999999E-2</v>
      </c>
      <c r="AH68" t="s">
        <v>346</v>
      </c>
      <c r="AI68" t="s">
        <v>346</v>
      </c>
      <c r="AJ68" t="s">
        <v>592</v>
      </c>
      <c r="AK68">
        <v>3978</v>
      </c>
      <c r="AL68" t="s">
        <v>377</v>
      </c>
      <c r="AM68" t="s">
        <v>347</v>
      </c>
      <c r="AN68" t="s">
        <v>348</v>
      </c>
      <c r="AO68" t="s">
        <v>349</v>
      </c>
      <c r="AP68" t="s">
        <v>355</v>
      </c>
      <c r="AQ68" t="s">
        <v>351</v>
      </c>
      <c r="AR68" t="s">
        <v>369</v>
      </c>
      <c r="AS68">
        <v>2333</v>
      </c>
      <c r="AT68" t="s">
        <v>367</v>
      </c>
      <c r="AU68" t="s">
        <v>349</v>
      </c>
      <c r="AV68" t="s">
        <v>367</v>
      </c>
      <c r="AW68" t="s">
        <v>367</v>
      </c>
      <c r="AX68" t="s">
        <v>367</v>
      </c>
      <c r="AY68" t="s">
        <v>367</v>
      </c>
      <c r="AZ68" t="s">
        <v>367</v>
      </c>
      <c r="BA68" t="s">
        <v>367</v>
      </c>
      <c r="BB68" t="s">
        <v>367</v>
      </c>
      <c r="BC68">
        <v>4</v>
      </c>
    </row>
    <row r="69" spans="1:55" ht="15" customHeight="1" x14ac:dyDescent="0.35">
      <c r="A69" t="s">
        <v>995</v>
      </c>
      <c r="B69" t="s">
        <v>1562</v>
      </c>
      <c r="C69" t="s">
        <v>111</v>
      </c>
      <c r="D69" t="s">
        <v>112</v>
      </c>
      <c r="E69">
        <v>2002</v>
      </c>
      <c r="F69" t="s">
        <v>113</v>
      </c>
      <c r="G69" t="s">
        <v>335</v>
      </c>
      <c r="H69" t="s">
        <v>335</v>
      </c>
      <c r="I69" t="s">
        <v>335</v>
      </c>
      <c r="J69" t="s">
        <v>339</v>
      </c>
      <c r="K69" t="s">
        <v>335</v>
      </c>
      <c r="L69" t="s">
        <v>335</v>
      </c>
      <c r="M69" t="s">
        <v>352</v>
      </c>
      <c r="N69" t="s">
        <v>352</v>
      </c>
      <c r="P69" t="s">
        <v>427</v>
      </c>
      <c r="Q69" t="s">
        <v>428</v>
      </c>
      <c r="R69" t="s">
        <v>429</v>
      </c>
      <c r="S69" t="s">
        <v>430</v>
      </c>
      <c r="T69" t="s">
        <v>348</v>
      </c>
      <c r="U69" t="s">
        <v>344</v>
      </c>
      <c r="V69">
        <v>47.5</v>
      </c>
      <c r="W69">
        <v>-108</v>
      </c>
      <c r="X69">
        <v>770</v>
      </c>
      <c r="Y69" t="s">
        <v>431</v>
      </c>
      <c r="Z69" t="s">
        <v>432</v>
      </c>
      <c r="AA69" t="s">
        <v>1247</v>
      </c>
      <c r="AB69" t="s">
        <v>400</v>
      </c>
      <c r="AC69" t="s">
        <v>366</v>
      </c>
      <c r="AD69" t="s">
        <v>433</v>
      </c>
      <c r="AE69" t="s">
        <v>364</v>
      </c>
      <c r="AF69">
        <v>-1.08</v>
      </c>
      <c r="AG69" t="s">
        <v>346</v>
      </c>
      <c r="AH69">
        <v>-2.12</v>
      </c>
      <c r="AI69">
        <v>-0.13</v>
      </c>
      <c r="AJ69" t="s">
        <v>592</v>
      </c>
      <c r="AK69">
        <v>584</v>
      </c>
      <c r="AL69" t="s">
        <v>377</v>
      </c>
      <c r="AM69" t="s">
        <v>347</v>
      </c>
      <c r="AN69" t="s">
        <v>348</v>
      </c>
      <c r="AO69" t="s">
        <v>349</v>
      </c>
      <c r="AP69" t="s">
        <v>355</v>
      </c>
      <c r="AQ69" t="s">
        <v>351</v>
      </c>
      <c r="AR69" t="s">
        <v>356</v>
      </c>
      <c r="AS69">
        <v>101</v>
      </c>
      <c r="AT69" t="s">
        <v>349</v>
      </c>
      <c r="AU69" t="s">
        <v>367</v>
      </c>
      <c r="AV69" t="s">
        <v>367</v>
      </c>
      <c r="AW69" t="s">
        <v>367</v>
      </c>
      <c r="AX69" t="s">
        <v>367</v>
      </c>
      <c r="AY69" t="s">
        <v>367</v>
      </c>
      <c r="AZ69" t="s">
        <v>367</v>
      </c>
      <c r="BA69" t="s">
        <v>367</v>
      </c>
      <c r="BB69" t="s">
        <v>367</v>
      </c>
      <c r="BC69">
        <v>3</v>
      </c>
    </row>
    <row r="70" spans="1:55" ht="15" customHeight="1" x14ac:dyDescent="0.35">
      <c r="A70" t="s">
        <v>995</v>
      </c>
      <c r="B70" t="s">
        <v>1563</v>
      </c>
      <c r="C70" t="s">
        <v>1210</v>
      </c>
      <c r="D70" t="s">
        <v>67</v>
      </c>
      <c r="E70">
        <v>2002</v>
      </c>
      <c r="F70" t="s">
        <v>1211</v>
      </c>
      <c r="G70" t="s">
        <v>335</v>
      </c>
      <c r="H70" t="s">
        <v>335</v>
      </c>
      <c r="I70" t="s">
        <v>335</v>
      </c>
      <c r="J70" t="s">
        <v>339</v>
      </c>
      <c r="K70" t="s">
        <v>335</v>
      </c>
      <c r="L70" t="s">
        <v>335</v>
      </c>
      <c r="M70" t="s">
        <v>352</v>
      </c>
      <c r="N70" t="s">
        <v>352</v>
      </c>
      <c r="P70" t="s">
        <v>387</v>
      </c>
      <c r="Q70" t="s">
        <v>588</v>
      </c>
      <c r="R70" t="s">
        <v>589</v>
      </c>
      <c r="S70" t="s">
        <v>590</v>
      </c>
      <c r="T70" t="s">
        <v>1235</v>
      </c>
      <c r="U70" t="s">
        <v>1239</v>
      </c>
      <c r="V70">
        <v>37.511000000000003</v>
      </c>
      <c r="W70">
        <v>-7.0330000000000004</v>
      </c>
      <c r="X70">
        <v>1195</v>
      </c>
      <c r="Y70" t="s">
        <v>591</v>
      </c>
      <c r="Z70" t="s">
        <v>1212</v>
      </c>
      <c r="AA70" t="s">
        <v>1236</v>
      </c>
      <c r="AB70" t="s">
        <v>457</v>
      </c>
      <c r="AC70" t="s">
        <v>366</v>
      </c>
      <c r="AD70" t="s">
        <v>1213</v>
      </c>
      <c r="AE70" t="s">
        <v>364</v>
      </c>
      <c r="AF70">
        <v>-4.9599999999999998E-2</v>
      </c>
      <c r="AG70">
        <v>1.3599999999999999E-2</v>
      </c>
      <c r="AH70" t="s">
        <v>346</v>
      </c>
      <c r="AI70" t="s">
        <v>346</v>
      </c>
      <c r="AJ70" t="s">
        <v>592</v>
      </c>
      <c r="AK70">
        <v>739</v>
      </c>
      <c r="AL70" t="s">
        <v>527</v>
      </c>
      <c r="AM70" t="s">
        <v>347</v>
      </c>
      <c r="AN70" t="s">
        <v>348</v>
      </c>
      <c r="AO70" t="s">
        <v>367</v>
      </c>
      <c r="AP70" t="s">
        <v>350</v>
      </c>
      <c r="AQ70" t="s">
        <v>368</v>
      </c>
      <c r="AR70" t="s">
        <v>369</v>
      </c>
      <c r="AS70">
        <v>9750</v>
      </c>
      <c r="AT70" t="s">
        <v>367</v>
      </c>
      <c r="AU70" t="s">
        <v>367</v>
      </c>
      <c r="AV70" t="s">
        <v>367</v>
      </c>
      <c r="AW70" t="s">
        <v>367</v>
      </c>
      <c r="AX70" t="s">
        <v>367</v>
      </c>
      <c r="AY70" t="s">
        <v>367</v>
      </c>
      <c r="AZ70" t="s">
        <v>367</v>
      </c>
      <c r="BA70" t="s">
        <v>367</v>
      </c>
      <c r="BB70" t="s">
        <v>349</v>
      </c>
      <c r="BC70">
        <v>1</v>
      </c>
    </row>
    <row r="71" spans="1:55" ht="15" customHeight="1" x14ac:dyDescent="0.35">
      <c r="A71" t="s">
        <v>995</v>
      </c>
      <c r="B71" t="s">
        <v>1563</v>
      </c>
      <c r="C71" t="s">
        <v>1210</v>
      </c>
      <c r="D71" t="s">
        <v>67</v>
      </c>
      <c r="E71">
        <v>2002</v>
      </c>
      <c r="F71" t="s">
        <v>1211</v>
      </c>
      <c r="G71" t="s">
        <v>335</v>
      </c>
      <c r="H71" t="s">
        <v>335</v>
      </c>
      <c r="I71" t="s">
        <v>335</v>
      </c>
      <c r="J71" t="s">
        <v>339</v>
      </c>
      <c r="K71" t="s">
        <v>335</v>
      </c>
      <c r="L71" t="s">
        <v>335</v>
      </c>
      <c r="M71" t="s">
        <v>352</v>
      </c>
      <c r="N71" t="s">
        <v>335</v>
      </c>
      <c r="P71" t="s">
        <v>387</v>
      </c>
      <c r="Q71" t="s">
        <v>588</v>
      </c>
      <c r="R71" t="s">
        <v>589</v>
      </c>
      <c r="S71" t="s">
        <v>590</v>
      </c>
      <c r="T71" t="s">
        <v>1235</v>
      </c>
      <c r="U71" t="s">
        <v>1239</v>
      </c>
      <c r="V71">
        <v>40.24</v>
      </c>
      <c r="W71">
        <v>-4.3310000000000004</v>
      </c>
      <c r="X71">
        <v>1195</v>
      </c>
      <c r="Y71" t="s">
        <v>593</v>
      </c>
      <c r="Z71" t="s">
        <v>1212</v>
      </c>
      <c r="AA71" t="s">
        <v>1236</v>
      </c>
      <c r="AB71" t="s">
        <v>457</v>
      </c>
      <c r="AC71" t="s">
        <v>366</v>
      </c>
      <c r="AD71" t="s">
        <v>1213</v>
      </c>
      <c r="AE71" t="s">
        <v>354</v>
      </c>
      <c r="AF71" t="s">
        <v>346</v>
      </c>
      <c r="AG71" t="s">
        <v>346</v>
      </c>
      <c r="AH71" t="s">
        <v>346</v>
      </c>
      <c r="AI71" t="s">
        <v>346</v>
      </c>
      <c r="AJ71" t="s">
        <v>339</v>
      </c>
      <c r="AK71">
        <v>355</v>
      </c>
      <c r="AL71" t="s">
        <v>527</v>
      </c>
      <c r="AM71" t="s">
        <v>339</v>
      </c>
      <c r="AN71" t="s">
        <v>348</v>
      </c>
      <c r="AO71" t="s">
        <v>367</v>
      </c>
      <c r="AP71" t="s">
        <v>350</v>
      </c>
      <c r="AQ71" t="s">
        <v>368</v>
      </c>
      <c r="AR71" t="s">
        <v>369</v>
      </c>
      <c r="AS71">
        <v>9750</v>
      </c>
      <c r="AT71" t="s">
        <v>367</v>
      </c>
      <c r="AU71" t="s">
        <v>367</v>
      </c>
      <c r="AV71" t="s">
        <v>367</v>
      </c>
      <c r="AW71" t="s">
        <v>367</v>
      </c>
      <c r="AX71" t="s">
        <v>367</v>
      </c>
      <c r="AY71" t="s">
        <v>367</v>
      </c>
      <c r="AZ71" t="s">
        <v>367</v>
      </c>
      <c r="BA71" t="s">
        <v>367</v>
      </c>
      <c r="BB71" t="s">
        <v>349</v>
      </c>
      <c r="BC71">
        <v>1</v>
      </c>
    </row>
    <row r="72" spans="1:55" ht="15" customHeight="1" x14ac:dyDescent="0.35">
      <c r="A72" t="s">
        <v>995</v>
      </c>
      <c r="B72" t="s">
        <v>1564</v>
      </c>
      <c r="C72" t="s">
        <v>115</v>
      </c>
      <c r="D72" t="s">
        <v>116</v>
      </c>
      <c r="E72">
        <v>2012</v>
      </c>
      <c r="F72" t="s">
        <v>1138</v>
      </c>
      <c r="G72" t="s">
        <v>335</v>
      </c>
      <c r="H72" t="s">
        <v>335</v>
      </c>
      <c r="I72" t="s">
        <v>335</v>
      </c>
      <c r="J72" t="s">
        <v>339</v>
      </c>
      <c r="K72" t="s">
        <v>335</v>
      </c>
      <c r="L72" t="s">
        <v>335</v>
      </c>
      <c r="M72" t="s">
        <v>352</v>
      </c>
      <c r="N72" t="s">
        <v>352</v>
      </c>
      <c r="P72" t="s">
        <v>427</v>
      </c>
      <c r="Q72" t="s">
        <v>428</v>
      </c>
      <c r="R72" t="s">
        <v>429</v>
      </c>
      <c r="S72" t="s">
        <v>430</v>
      </c>
      <c r="T72" t="s">
        <v>348</v>
      </c>
      <c r="U72" t="s">
        <v>344</v>
      </c>
      <c r="V72">
        <v>39.863200999999997</v>
      </c>
      <c r="W72">
        <v>-103.90634300000001</v>
      </c>
      <c r="X72">
        <v>1600</v>
      </c>
      <c r="Y72" t="s">
        <v>434</v>
      </c>
      <c r="Z72" t="s">
        <v>435</v>
      </c>
      <c r="AA72" t="s">
        <v>1247</v>
      </c>
      <c r="AB72" t="s">
        <v>400</v>
      </c>
      <c r="AC72" t="s">
        <v>366</v>
      </c>
      <c r="AD72" t="s">
        <v>436</v>
      </c>
      <c r="AE72" t="s">
        <v>364</v>
      </c>
      <c r="AF72">
        <v>0.498</v>
      </c>
      <c r="AG72">
        <v>0.161</v>
      </c>
      <c r="AH72" t="s">
        <v>346</v>
      </c>
      <c r="AI72" t="s">
        <v>346</v>
      </c>
      <c r="AJ72" t="s">
        <v>592</v>
      </c>
      <c r="AK72">
        <v>936</v>
      </c>
      <c r="AL72" t="s">
        <v>377</v>
      </c>
      <c r="AM72" t="s">
        <v>347</v>
      </c>
      <c r="AN72" t="s">
        <v>348</v>
      </c>
      <c r="AO72" t="s">
        <v>349</v>
      </c>
      <c r="AP72" t="s">
        <v>355</v>
      </c>
      <c r="AQ72" t="s">
        <v>351</v>
      </c>
      <c r="AR72" t="s">
        <v>356</v>
      </c>
      <c r="AS72">
        <v>101</v>
      </c>
      <c r="AT72" t="s">
        <v>349</v>
      </c>
      <c r="AU72" t="s">
        <v>367</v>
      </c>
      <c r="AV72" t="s">
        <v>367</v>
      </c>
      <c r="AW72" t="s">
        <v>367</v>
      </c>
      <c r="AX72" t="s">
        <v>367</v>
      </c>
      <c r="AY72" t="s">
        <v>367</v>
      </c>
      <c r="AZ72" t="s">
        <v>367</v>
      </c>
      <c r="BA72" t="s">
        <v>367</v>
      </c>
      <c r="BB72" t="s">
        <v>367</v>
      </c>
      <c r="BC72">
        <v>3</v>
      </c>
    </row>
    <row r="73" spans="1:55" ht="15" customHeight="1" x14ac:dyDescent="0.35">
      <c r="A73" t="s">
        <v>995</v>
      </c>
      <c r="B73" t="s">
        <v>1565</v>
      </c>
      <c r="C73" t="s">
        <v>117</v>
      </c>
      <c r="D73" t="s">
        <v>42</v>
      </c>
      <c r="E73">
        <v>2009</v>
      </c>
      <c r="F73" t="s">
        <v>118</v>
      </c>
      <c r="G73" t="s">
        <v>335</v>
      </c>
      <c r="H73" t="s">
        <v>335</v>
      </c>
      <c r="I73" t="s">
        <v>335</v>
      </c>
      <c r="J73" t="s">
        <v>339</v>
      </c>
      <c r="K73" t="s">
        <v>335</v>
      </c>
      <c r="L73" t="s">
        <v>335</v>
      </c>
      <c r="M73" t="s">
        <v>352</v>
      </c>
      <c r="N73" t="s">
        <v>335</v>
      </c>
      <c r="P73" t="s">
        <v>437</v>
      </c>
      <c r="Q73" t="s">
        <v>295</v>
      </c>
      <c r="R73" t="s">
        <v>438</v>
      </c>
      <c r="S73" t="s">
        <v>1513</v>
      </c>
      <c r="T73" t="s">
        <v>1249</v>
      </c>
      <c r="U73" t="s">
        <v>471</v>
      </c>
      <c r="V73">
        <v>51.503439999999998</v>
      </c>
      <c r="W73">
        <v>17.110458000000001</v>
      </c>
      <c r="X73">
        <v>93</v>
      </c>
      <c r="Y73" t="s">
        <v>439</v>
      </c>
      <c r="Z73" t="s">
        <v>440</v>
      </c>
      <c r="AA73" t="s">
        <v>1236</v>
      </c>
      <c r="AB73" t="s">
        <v>441</v>
      </c>
      <c r="AC73" t="s">
        <v>1237</v>
      </c>
      <c r="AD73" t="s">
        <v>1261</v>
      </c>
      <c r="AE73" t="s">
        <v>354</v>
      </c>
      <c r="AF73" t="s">
        <v>346</v>
      </c>
      <c r="AG73" t="s">
        <v>346</v>
      </c>
      <c r="AH73" t="s">
        <v>346</v>
      </c>
      <c r="AI73" t="s">
        <v>346</v>
      </c>
      <c r="AJ73" t="s">
        <v>346</v>
      </c>
      <c r="AK73">
        <v>893</v>
      </c>
      <c r="AL73" t="s">
        <v>377</v>
      </c>
      <c r="AM73" t="s">
        <v>339</v>
      </c>
      <c r="AN73" t="s">
        <v>348</v>
      </c>
      <c r="AO73" t="s">
        <v>367</v>
      </c>
      <c r="AP73" t="s">
        <v>386</v>
      </c>
      <c r="AQ73" t="s">
        <v>368</v>
      </c>
      <c r="AR73" t="s">
        <v>369</v>
      </c>
      <c r="AS73">
        <v>27</v>
      </c>
      <c r="AT73" t="s">
        <v>349</v>
      </c>
      <c r="AU73" t="s">
        <v>367</v>
      </c>
      <c r="AV73" t="s">
        <v>349</v>
      </c>
      <c r="AW73" t="s">
        <v>367</v>
      </c>
      <c r="AX73" t="s">
        <v>367</v>
      </c>
      <c r="AY73" t="s">
        <v>367</v>
      </c>
      <c r="AZ73" t="s">
        <v>367</v>
      </c>
      <c r="BA73" t="s">
        <v>367</v>
      </c>
      <c r="BB73" t="s">
        <v>367</v>
      </c>
      <c r="BC73">
        <v>5</v>
      </c>
    </row>
    <row r="74" spans="1:55" ht="15" customHeight="1" x14ac:dyDescent="0.35">
      <c r="A74" t="s">
        <v>995</v>
      </c>
      <c r="B74" t="s">
        <v>1566</v>
      </c>
      <c r="C74" t="s">
        <v>120</v>
      </c>
      <c r="D74" t="s">
        <v>103</v>
      </c>
      <c r="E74">
        <v>2020</v>
      </c>
      <c r="F74" t="s">
        <v>121</v>
      </c>
      <c r="G74" t="s">
        <v>335</v>
      </c>
      <c r="H74" t="s">
        <v>335</v>
      </c>
      <c r="I74" t="s">
        <v>335</v>
      </c>
      <c r="J74" t="s">
        <v>339</v>
      </c>
      <c r="K74" t="s">
        <v>335</v>
      </c>
      <c r="L74" t="s">
        <v>335</v>
      </c>
      <c r="M74" t="s">
        <v>352</v>
      </c>
      <c r="N74" t="s">
        <v>352</v>
      </c>
      <c r="P74" t="s">
        <v>587</v>
      </c>
      <c r="Q74" t="s">
        <v>584</v>
      </c>
      <c r="R74" t="s">
        <v>596</v>
      </c>
      <c r="S74" t="s">
        <v>597</v>
      </c>
      <c r="T74" t="s">
        <v>1235</v>
      </c>
      <c r="U74" t="s">
        <v>1280</v>
      </c>
      <c r="V74">
        <v>61.12</v>
      </c>
      <c r="W74">
        <v>22.1</v>
      </c>
      <c r="X74">
        <v>59</v>
      </c>
      <c r="Y74" t="s">
        <v>594</v>
      </c>
      <c r="Z74" t="s">
        <v>595</v>
      </c>
      <c r="AA74" t="s">
        <v>1236</v>
      </c>
      <c r="AB74" t="s">
        <v>514</v>
      </c>
      <c r="AC74" t="s">
        <v>366</v>
      </c>
      <c r="AD74" t="s">
        <v>598</v>
      </c>
      <c r="AE74" t="s">
        <v>364</v>
      </c>
      <c r="AF74">
        <v>-0.61</v>
      </c>
      <c r="AG74" t="s">
        <v>346</v>
      </c>
      <c r="AH74" t="s">
        <v>346</v>
      </c>
      <c r="AI74" t="s">
        <v>346</v>
      </c>
      <c r="AJ74" t="s">
        <v>592</v>
      </c>
      <c r="AK74">
        <v>5002</v>
      </c>
      <c r="AL74" t="s">
        <v>528</v>
      </c>
      <c r="AM74" t="s">
        <v>347</v>
      </c>
      <c r="AN74" t="s">
        <v>410</v>
      </c>
      <c r="AO74" t="s">
        <v>367</v>
      </c>
      <c r="AP74" t="s">
        <v>411</v>
      </c>
      <c r="AQ74" t="s">
        <v>368</v>
      </c>
      <c r="AR74" t="s">
        <v>369</v>
      </c>
      <c r="AS74">
        <v>16</v>
      </c>
      <c r="AT74" t="s">
        <v>349</v>
      </c>
      <c r="AU74" t="s">
        <v>349</v>
      </c>
      <c r="AV74" t="s">
        <v>367</v>
      </c>
      <c r="AW74" t="s">
        <v>367</v>
      </c>
      <c r="AX74" t="s">
        <v>367</v>
      </c>
      <c r="AY74" t="s">
        <v>367</v>
      </c>
      <c r="AZ74" t="s">
        <v>367</v>
      </c>
      <c r="BA74" t="s">
        <v>367</v>
      </c>
      <c r="BB74" t="s">
        <v>367</v>
      </c>
      <c r="BC74">
        <v>6</v>
      </c>
    </row>
    <row r="75" spans="1:55" ht="15" customHeight="1" x14ac:dyDescent="0.35">
      <c r="A75" t="s">
        <v>995</v>
      </c>
      <c r="B75" t="s">
        <v>1566</v>
      </c>
      <c r="C75" t="s">
        <v>120</v>
      </c>
      <c r="D75" t="s">
        <v>103</v>
      </c>
      <c r="E75">
        <v>2020</v>
      </c>
      <c r="F75" t="s">
        <v>121</v>
      </c>
      <c r="G75" t="s">
        <v>335</v>
      </c>
      <c r="H75" t="s">
        <v>335</v>
      </c>
      <c r="I75" t="s">
        <v>335</v>
      </c>
      <c r="J75" t="s">
        <v>339</v>
      </c>
      <c r="K75" t="s">
        <v>335</v>
      </c>
      <c r="L75" t="s">
        <v>335</v>
      </c>
      <c r="M75" t="s">
        <v>352</v>
      </c>
      <c r="N75" t="s">
        <v>352</v>
      </c>
      <c r="P75" t="s">
        <v>587</v>
      </c>
      <c r="Q75" t="s">
        <v>584</v>
      </c>
      <c r="R75" t="s">
        <v>596</v>
      </c>
      <c r="S75" t="s">
        <v>597</v>
      </c>
      <c r="T75" t="s">
        <v>1235</v>
      </c>
      <c r="U75" t="s">
        <v>1280</v>
      </c>
      <c r="V75">
        <v>61.12</v>
      </c>
      <c r="W75">
        <v>22.1</v>
      </c>
      <c r="X75">
        <v>59</v>
      </c>
      <c r="Y75" t="s">
        <v>594</v>
      </c>
      <c r="Z75" t="s">
        <v>595</v>
      </c>
      <c r="AA75" t="s">
        <v>1236</v>
      </c>
      <c r="AB75" t="s">
        <v>512</v>
      </c>
      <c r="AC75" t="s">
        <v>366</v>
      </c>
      <c r="AD75" t="s">
        <v>599</v>
      </c>
      <c r="AE75" t="s">
        <v>345</v>
      </c>
      <c r="AF75">
        <v>0.18</v>
      </c>
      <c r="AG75" t="s">
        <v>346</v>
      </c>
      <c r="AH75" t="s">
        <v>346</v>
      </c>
      <c r="AI75" t="s">
        <v>346</v>
      </c>
      <c r="AJ75" t="s">
        <v>592</v>
      </c>
      <c r="AK75">
        <v>5720</v>
      </c>
      <c r="AL75" t="s">
        <v>529</v>
      </c>
      <c r="AM75" t="s">
        <v>347</v>
      </c>
      <c r="AN75" t="s">
        <v>410</v>
      </c>
      <c r="AO75" t="s">
        <v>367</v>
      </c>
      <c r="AP75" t="s">
        <v>411</v>
      </c>
      <c r="AQ75" t="s">
        <v>368</v>
      </c>
      <c r="AR75" t="s">
        <v>369</v>
      </c>
      <c r="AS75">
        <v>16</v>
      </c>
      <c r="AT75" t="s">
        <v>349</v>
      </c>
      <c r="AU75" t="s">
        <v>349</v>
      </c>
      <c r="AV75" t="s">
        <v>367</v>
      </c>
      <c r="AW75" t="s">
        <v>367</v>
      </c>
      <c r="AX75" t="s">
        <v>367</v>
      </c>
      <c r="AY75" t="s">
        <v>367</v>
      </c>
      <c r="AZ75" t="s">
        <v>367</v>
      </c>
      <c r="BA75" t="s">
        <v>367</v>
      </c>
      <c r="BB75" t="s">
        <v>367</v>
      </c>
      <c r="BC75">
        <v>6</v>
      </c>
    </row>
    <row r="76" spans="1:55" ht="15" customHeight="1" x14ac:dyDescent="0.35">
      <c r="A76" t="s">
        <v>995</v>
      </c>
      <c r="B76" t="s">
        <v>1566</v>
      </c>
      <c r="C76" t="s">
        <v>120</v>
      </c>
      <c r="D76" t="s">
        <v>103</v>
      </c>
      <c r="E76">
        <v>2020</v>
      </c>
      <c r="F76" t="s">
        <v>121</v>
      </c>
      <c r="G76" t="s">
        <v>335</v>
      </c>
      <c r="H76" t="s">
        <v>335</v>
      </c>
      <c r="I76" t="s">
        <v>335</v>
      </c>
      <c r="J76" t="s">
        <v>339</v>
      </c>
      <c r="K76" t="s">
        <v>335</v>
      </c>
      <c r="L76" t="s">
        <v>335</v>
      </c>
      <c r="M76" t="s">
        <v>352</v>
      </c>
      <c r="N76" t="s">
        <v>352</v>
      </c>
      <c r="P76" t="s">
        <v>518</v>
      </c>
      <c r="Q76" t="s">
        <v>519</v>
      </c>
      <c r="R76" t="s">
        <v>520</v>
      </c>
      <c r="S76" t="s">
        <v>516</v>
      </c>
      <c r="T76" t="s">
        <v>1235</v>
      </c>
      <c r="U76" t="s">
        <v>1280</v>
      </c>
      <c r="V76">
        <v>61.12</v>
      </c>
      <c r="W76">
        <v>22.1</v>
      </c>
      <c r="X76">
        <v>59</v>
      </c>
      <c r="Y76" t="s">
        <v>594</v>
      </c>
      <c r="Z76" t="s">
        <v>595</v>
      </c>
      <c r="AA76" t="s">
        <v>1236</v>
      </c>
      <c r="AB76" t="s">
        <v>514</v>
      </c>
      <c r="AC76" t="s">
        <v>366</v>
      </c>
      <c r="AD76" t="s">
        <v>598</v>
      </c>
      <c r="AE76" t="s">
        <v>345</v>
      </c>
      <c r="AF76">
        <v>0.32</v>
      </c>
      <c r="AG76" t="s">
        <v>346</v>
      </c>
      <c r="AH76" t="s">
        <v>346</v>
      </c>
      <c r="AI76" t="s">
        <v>346</v>
      </c>
      <c r="AJ76" t="s">
        <v>592</v>
      </c>
      <c r="AK76">
        <v>2151</v>
      </c>
      <c r="AL76" t="s">
        <v>528</v>
      </c>
      <c r="AM76" t="s">
        <v>347</v>
      </c>
      <c r="AN76" t="s">
        <v>410</v>
      </c>
      <c r="AO76" t="s">
        <v>367</v>
      </c>
      <c r="AP76" t="s">
        <v>411</v>
      </c>
      <c r="AQ76" t="s">
        <v>368</v>
      </c>
      <c r="AR76" t="s">
        <v>369</v>
      </c>
      <c r="AS76">
        <v>17</v>
      </c>
      <c r="AT76" t="s">
        <v>349</v>
      </c>
      <c r="AU76" t="s">
        <v>367</v>
      </c>
      <c r="AV76" t="s">
        <v>367</v>
      </c>
      <c r="AW76" t="s">
        <v>367</v>
      </c>
      <c r="AX76" t="s">
        <v>367</v>
      </c>
      <c r="AY76" t="s">
        <v>367</v>
      </c>
      <c r="AZ76" t="s">
        <v>367</v>
      </c>
      <c r="BA76" t="s">
        <v>367</v>
      </c>
      <c r="BB76" t="s">
        <v>367</v>
      </c>
      <c r="BC76">
        <v>8.5</v>
      </c>
    </row>
    <row r="77" spans="1:55" ht="15" customHeight="1" x14ac:dyDescent="0.35">
      <c r="A77" t="s">
        <v>995</v>
      </c>
      <c r="B77" t="s">
        <v>1566</v>
      </c>
      <c r="C77" t="s">
        <v>120</v>
      </c>
      <c r="D77" t="s">
        <v>103</v>
      </c>
      <c r="E77">
        <v>2020</v>
      </c>
      <c r="F77" t="s">
        <v>121</v>
      </c>
      <c r="G77" t="s">
        <v>335</v>
      </c>
      <c r="H77" t="s">
        <v>335</v>
      </c>
      <c r="I77" t="s">
        <v>335</v>
      </c>
      <c r="J77" t="s">
        <v>339</v>
      </c>
      <c r="K77" t="s">
        <v>335</v>
      </c>
      <c r="L77" t="s">
        <v>335</v>
      </c>
      <c r="M77" t="s">
        <v>352</v>
      </c>
      <c r="N77" t="s">
        <v>352</v>
      </c>
      <c r="P77" t="s">
        <v>518</v>
      </c>
      <c r="Q77" t="s">
        <v>519</v>
      </c>
      <c r="R77" t="s">
        <v>520</v>
      </c>
      <c r="S77" t="s">
        <v>516</v>
      </c>
      <c r="T77" t="s">
        <v>1235</v>
      </c>
      <c r="U77" t="s">
        <v>1280</v>
      </c>
      <c r="V77">
        <v>61.12</v>
      </c>
      <c r="W77">
        <v>22.1</v>
      </c>
      <c r="X77">
        <v>59</v>
      </c>
      <c r="Y77" t="s">
        <v>594</v>
      </c>
      <c r="Z77" t="s">
        <v>595</v>
      </c>
      <c r="AA77" t="s">
        <v>1236</v>
      </c>
      <c r="AB77" t="s">
        <v>512</v>
      </c>
      <c r="AC77" t="s">
        <v>366</v>
      </c>
      <c r="AD77" t="s">
        <v>599</v>
      </c>
      <c r="AE77" t="s">
        <v>345</v>
      </c>
      <c r="AF77">
        <v>6.2E-4</v>
      </c>
      <c r="AG77" t="s">
        <v>346</v>
      </c>
      <c r="AH77" t="s">
        <v>346</v>
      </c>
      <c r="AI77" t="s">
        <v>346</v>
      </c>
      <c r="AJ77" t="s">
        <v>592</v>
      </c>
      <c r="AK77">
        <v>2489</v>
      </c>
      <c r="AL77" t="s">
        <v>529</v>
      </c>
      <c r="AM77" t="s">
        <v>347</v>
      </c>
      <c r="AN77" t="s">
        <v>410</v>
      </c>
      <c r="AO77" t="s">
        <v>367</v>
      </c>
      <c r="AP77" t="s">
        <v>411</v>
      </c>
      <c r="AQ77" t="s">
        <v>368</v>
      </c>
      <c r="AR77" t="s">
        <v>369</v>
      </c>
      <c r="AS77">
        <v>17</v>
      </c>
      <c r="AT77" t="s">
        <v>349</v>
      </c>
      <c r="AU77" t="s">
        <v>367</v>
      </c>
      <c r="AV77" t="s">
        <v>367</v>
      </c>
      <c r="AW77" t="s">
        <v>367</v>
      </c>
      <c r="AX77" t="s">
        <v>367</v>
      </c>
      <c r="AY77" t="s">
        <v>367</v>
      </c>
      <c r="AZ77" t="s">
        <v>367</v>
      </c>
      <c r="BA77" t="s">
        <v>367</v>
      </c>
      <c r="BB77" t="s">
        <v>367</v>
      </c>
      <c r="BC77">
        <v>8.5</v>
      </c>
    </row>
    <row r="78" spans="1:55" ht="15" customHeight="1" x14ac:dyDescent="0.35">
      <c r="A78" t="s">
        <v>995</v>
      </c>
      <c r="B78" t="s">
        <v>1567</v>
      </c>
      <c r="C78" t="s">
        <v>122</v>
      </c>
      <c r="D78" t="s">
        <v>42</v>
      </c>
      <c r="E78">
        <v>2015</v>
      </c>
      <c r="F78" t="s">
        <v>123</v>
      </c>
      <c r="G78" t="s">
        <v>335</v>
      </c>
      <c r="H78" t="s">
        <v>335</v>
      </c>
      <c r="I78" t="s">
        <v>335</v>
      </c>
      <c r="J78" t="s">
        <v>339</v>
      </c>
      <c r="K78" t="s">
        <v>335</v>
      </c>
      <c r="L78" t="s">
        <v>335</v>
      </c>
      <c r="M78" t="s">
        <v>352</v>
      </c>
      <c r="N78" t="s">
        <v>352</v>
      </c>
      <c r="O78" t="s">
        <v>442</v>
      </c>
      <c r="P78" t="s">
        <v>581</v>
      </c>
      <c r="Q78" t="s">
        <v>582</v>
      </c>
      <c r="R78" t="s">
        <v>443</v>
      </c>
      <c r="S78" t="s">
        <v>444</v>
      </c>
      <c r="T78" t="s">
        <v>348</v>
      </c>
      <c r="U78" t="s">
        <v>344</v>
      </c>
      <c r="V78">
        <v>52.68</v>
      </c>
      <c r="W78">
        <v>11.36</v>
      </c>
      <c r="X78">
        <v>37</v>
      </c>
      <c r="Y78" t="s">
        <v>445</v>
      </c>
      <c r="Z78" t="s">
        <v>600</v>
      </c>
      <c r="AA78" t="s">
        <v>1236</v>
      </c>
      <c r="AB78" t="s">
        <v>446</v>
      </c>
      <c r="AC78" t="s">
        <v>366</v>
      </c>
      <c r="AD78" t="s">
        <v>1289</v>
      </c>
      <c r="AE78" t="s">
        <v>364</v>
      </c>
      <c r="AF78">
        <v>-0.11899999999999999</v>
      </c>
      <c r="AG78">
        <v>4.9000000000000002E-2</v>
      </c>
      <c r="AH78" t="s">
        <v>346</v>
      </c>
      <c r="AI78" t="s">
        <v>346</v>
      </c>
      <c r="AJ78" t="s">
        <v>592</v>
      </c>
      <c r="AK78">
        <v>27</v>
      </c>
      <c r="AL78" t="s">
        <v>377</v>
      </c>
      <c r="AM78" t="s">
        <v>347</v>
      </c>
      <c r="AN78" t="s">
        <v>348</v>
      </c>
      <c r="AO78" t="s">
        <v>367</v>
      </c>
      <c r="AP78" t="s">
        <v>350</v>
      </c>
      <c r="AQ78" t="s">
        <v>368</v>
      </c>
      <c r="AR78" t="s">
        <v>369</v>
      </c>
      <c r="AS78">
        <v>3338</v>
      </c>
      <c r="AT78" t="s">
        <v>349</v>
      </c>
      <c r="AU78" t="s">
        <v>367</v>
      </c>
      <c r="AV78" t="s">
        <v>367</v>
      </c>
      <c r="AW78" t="s">
        <v>349</v>
      </c>
      <c r="AX78" t="s">
        <v>349</v>
      </c>
      <c r="AY78" t="s">
        <v>367</v>
      </c>
      <c r="AZ78" t="s">
        <v>349</v>
      </c>
      <c r="BA78" t="s">
        <v>349</v>
      </c>
      <c r="BB78" t="s">
        <v>349</v>
      </c>
      <c r="BC78">
        <v>4</v>
      </c>
    </row>
    <row r="79" spans="1:55" ht="15" customHeight="1" x14ac:dyDescent="0.35">
      <c r="A79" t="s">
        <v>995</v>
      </c>
      <c r="B79" t="s">
        <v>1567</v>
      </c>
      <c r="C79" t="s">
        <v>122</v>
      </c>
      <c r="D79" t="s">
        <v>42</v>
      </c>
      <c r="E79">
        <v>2015</v>
      </c>
      <c r="F79" t="s">
        <v>123</v>
      </c>
      <c r="G79" t="s">
        <v>335</v>
      </c>
      <c r="H79" t="s">
        <v>335</v>
      </c>
      <c r="I79" t="s">
        <v>335</v>
      </c>
      <c r="J79" t="s">
        <v>339</v>
      </c>
      <c r="K79" t="s">
        <v>335</v>
      </c>
      <c r="L79" t="s">
        <v>335</v>
      </c>
      <c r="M79" t="s">
        <v>352</v>
      </c>
      <c r="N79" t="s">
        <v>352</v>
      </c>
      <c r="O79" t="s">
        <v>442</v>
      </c>
      <c r="P79" t="s">
        <v>581</v>
      </c>
      <c r="Q79" t="s">
        <v>582</v>
      </c>
      <c r="R79" t="s">
        <v>443</v>
      </c>
      <c r="S79" t="s">
        <v>444</v>
      </c>
      <c r="T79" t="s">
        <v>348</v>
      </c>
      <c r="U79" t="s">
        <v>344</v>
      </c>
      <c r="V79">
        <v>52.68</v>
      </c>
      <c r="W79">
        <v>11.36</v>
      </c>
      <c r="X79">
        <v>37</v>
      </c>
      <c r="Y79" t="s">
        <v>445</v>
      </c>
      <c r="Z79" t="s">
        <v>600</v>
      </c>
      <c r="AA79" t="s">
        <v>1236</v>
      </c>
      <c r="AB79" t="s">
        <v>446</v>
      </c>
      <c r="AC79" t="s">
        <v>366</v>
      </c>
      <c r="AD79" t="s">
        <v>1290</v>
      </c>
      <c r="AE79" t="s">
        <v>345</v>
      </c>
      <c r="AF79">
        <v>1.4E-2</v>
      </c>
      <c r="AG79">
        <v>8.9999999999999993E-3</v>
      </c>
      <c r="AH79" t="s">
        <v>346</v>
      </c>
      <c r="AI79" t="s">
        <v>346</v>
      </c>
      <c r="AJ79" t="s">
        <v>592</v>
      </c>
      <c r="AK79">
        <v>27</v>
      </c>
      <c r="AL79" t="s">
        <v>377</v>
      </c>
      <c r="AM79" t="s">
        <v>347</v>
      </c>
      <c r="AN79" t="s">
        <v>348</v>
      </c>
      <c r="AO79" t="s">
        <v>367</v>
      </c>
      <c r="AP79" t="s">
        <v>350</v>
      </c>
      <c r="AQ79" t="s">
        <v>368</v>
      </c>
      <c r="AR79" t="s">
        <v>369</v>
      </c>
      <c r="AS79">
        <v>3338</v>
      </c>
      <c r="AT79" t="s">
        <v>349</v>
      </c>
      <c r="AU79" t="s">
        <v>367</v>
      </c>
      <c r="AV79" t="s">
        <v>367</v>
      </c>
      <c r="AW79" t="s">
        <v>349</v>
      </c>
      <c r="AX79" t="s">
        <v>349</v>
      </c>
      <c r="AY79" t="s">
        <v>367</v>
      </c>
      <c r="AZ79" t="s">
        <v>349</v>
      </c>
      <c r="BA79" t="s">
        <v>349</v>
      </c>
      <c r="BB79" t="s">
        <v>349</v>
      </c>
      <c r="BC79">
        <v>4</v>
      </c>
    </row>
    <row r="80" spans="1:55" ht="15" customHeight="1" x14ac:dyDescent="0.35">
      <c r="A80" t="s">
        <v>995</v>
      </c>
      <c r="B80" t="s">
        <v>1567</v>
      </c>
      <c r="C80" t="s">
        <v>122</v>
      </c>
      <c r="D80" t="s">
        <v>42</v>
      </c>
      <c r="E80">
        <v>2015</v>
      </c>
      <c r="F80" t="s">
        <v>123</v>
      </c>
      <c r="G80" t="s">
        <v>335</v>
      </c>
      <c r="H80" t="s">
        <v>335</v>
      </c>
      <c r="I80" t="s">
        <v>335</v>
      </c>
      <c r="J80" t="s">
        <v>339</v>
      </c>
      <c r="K80" t="s">
        <v>335</v>
      </c>
      <c r="L80" t="s">
        <v>335</v>
      </c>
      <c r="M80" t="s">
        <v>352</v>
      </c>
      <c r="N80" t="s">
        <v>352</v>
      </c>
      <c r="O80" t="s">
        <v>442</v>
      </c>
      <c r="P80" t="s">
        <v>581</v>
      </c>
      <c r="Q80" t="s">
        <v>582</v>
      </c>
      <c r="R80" t="s">
        <v>443</v>
      </c>
      <c r="S80" t="s">
        <v>444</v>
      </c>
      <c r="T80" t="s">
        <v>348</v>
      </c>
      <c r="U80" t="s">
        <v>344</v>
      </c>
      <c r="V80">
        <v>52.68</v>
      </c>
      <c r="W80">
        <v>11.36</v>
      </c>
      <c r="X80">
        <v>37</v>
      </c>
      <c r="Y80" t="s">
        <v>445</v>
      </c>
      <c r="Z80" t="s">
        <v>600</v>
      </c>
      <c r="AA80" t="s">
        <v>1236</v>
      </c>
      <c r="AB80" t="s">
        <v>446</v>
      </c>
      <c r="AC80" t="s">
        <v>1237</v>
      </c>
      <c r="AD80" t="s">
        <v>1291</v>
      </c>
      <c r="AE80" t="s">
        <v>345</v>
      </c>
      <c r="AF80">
        <v>4.4999999999999998E-2</v>
      </c>
      <c r="AG80">
        <v>1.9E-2</v>
      </c>
      <c r="AH80" t="s">
        <v>346</v>
      </c>
      <c r="AI80" t="s">
        <v>346</v>
      </c>
      <c r="AJ80" t="s">
        <v>592</v>
      </c>
      <c r="AK80">
        <v>27</v>
      </c>
      <c r="AL80" t="s">
        <v>377</v>
      </c>
      <c r="AM80" t="s">
        <v>347</v>
      </c>
      <c r="AN80" t="s">
        <v>348</v>
      </c>
      <c r="AO80" t="s">
        <v>367</v>
      </c>
      <c r="AP80" t="s">
        <v>350</v>
      </c>
      <c r="AQ80" t="s">
        <v>368</v>
      </c>
      <c r="AR80" t="s">
        <v>369</v>
      </c>
      <c r="AS80">
        <v>3338</v>
      </c>
      <c r="AT80" t="s">
        <v>349</v>
      </c>
      <c r="AU80" t="s">
        <v>367</v>
      </c>
      <c r="AV80" t="s">
        <v>367</v>
      </c>
      <c r="AW80" t="s">
        <v>349</v>
      </c>
      <c r="AX80" t="s">
        <v>349</v>
      </c>
      <c r="AY80" t="s">
        <v>367</v>
      </c>
      <c r="AZ80" t="s">
        <v>349</v>
      </c>
      <c r="BA80" t="s">
        <v>349</v>
      </c>
      <c r="BB80" t="s">
        <v>349</v>
      </c>
      <c r="BC80">
        <v>4</v>
      </c>
    </row>
    <row r="81" spans="1:55" ht="15" customHeight="1" x14ac:dyDescent="0.35">
      <c r="A81" t="s">
        <v>995</v>
      </c>
      <c r="B81" t="s">
        <v>1568</v>
      </c>
      <c r="C81" t="s">
        <v>124</v>
      </c>
      <c r="D81" t="s">
        <v>125</v>
      </c>
      <c r="E81">
        <v>2015</v>
      </c>
      <c r="F81" t="s">
        <v>126</v>
      </c>
      <c r="G81" t="s">
        <v>335</v>
      </c>
      <c r="H81" t="s">
        <v>335</v>
      </c>
      <c r="I81" t="s">
        <v>335</v>
      </c>
      <c r="J81" t="s">
        <v>339</v>
      </c>
      <c r="K81" t="s">
        <v>335</v>
      </c>
      <c r="L81" t="s">
        <v>335</v>
      </c>
      <c r="M81" t="s">
        <v>352</v>
      </c>
      <c r="N81" t="s">
        <v>352</v>
      </c>
      <c r="P81" t="s">
        <v>427</v>
      </c>
      <c r="Q81" t="s">
        <v>428</v>
      </c>
      <c r="R81" t="s">
        <v>570</v>
      </c>
      <c r="S81" t="s">
        <v>568</v>
      </c>
      <c r="T81" t="s">
        <v>1249</v>
      </c>
      <c r="U81" t="s">
        <v>471</v>
      </c>
      <c r="V81">
        <v>41.325023999999999</v>
      </c>
      <c r="W81">
        <v>-112.370851</v>
      </c>
      <c r="X81">
        <v>1280</v>
      </c>
      <c r="Y81" t="s">
        <v>601</v>
      </c>
      <c r="Z81" t="s">
        <v>602</v>
      </c>
      <c r="AA81" t="s">
        <v>1247</v>
      </c>
      <c r="AB81" t="s">
        <v>400</v>
      </c>
      <c r="AC81" t="s">
        <v>366</v>
      </c>
      <c r="AD81" t="s">
        <v>433</v>
      </c>
      <c r="AE81" t="s">
        <v>364</v>
      </c>
      <c r="AF81">
        <v>-0.04</v>
      </c>
      <c r="AG81" t="s">
        <v>346</v>
      </c>
      <c r="AH81">
        <v>-0.08</v>
      </c>
      <c r="AI81">
        <v>-0.01</v>
      </c>
      <c r="AJ81" t="s">
        <v>513</v>
      </c>
      <c r="AK81">
        <v>589</v>
      </c>
      <c r="AL81" t="s">
        <v>377</v>
      </c>
      <c r="AM81" t="s">
        <v>347</v>
      </c>
      <c r="AN81" t="s">
        <v>348</v>
      </c>
      <c r="AO81" t="s">
        <v>349</v>
      </c>
      <c r="AP81" t="s">
        <v>355</v>
      </c>
      <c r="AQ81" t="s">
        <v>351</v>
      </c>
      <c r="AR81" t="s">
        <v>369</v>
      </c>
      <c r="AS81">
        <v>46</v>
      </c>
      <c r="AT81" t="s">
        <v>349</v>
      </c>
      <c r="AU81" t="s">
        <v>367</v>
      </c>
      <c r="AV81" t="s">
        <v>367</v>
      </c>
      <c r="AW81" t="s">
        <v>367</v>
      </c>
      <c r="AX81" t="s">
        <v>367</v>
      </c>
      <c r="AY81" t="s">
        <v>367</v>
      </c>
      <c r="AZ81" t="s">
        <v>367</v>
      </c>
      <c r="BA81" t="s">
        <v>367</v>
      </c>
      <c r="BB81" t="s">
        <v>367</v>
      </c>
      <c r="BC81">
        <v>3</v>
      </c>
    </row>
    <row r="82" spans="1:55" ht="15" customHeight="1" x14ac:dyDescent="0.35">
      <c r="A82" t="s">
        <v>995</v>
      </c>
      <c r="B82" t="s">
        <v>1569</v>
      </c>
      <c r="C82" t="s">
        <v>127</v>
      </c>
      <c r="D82" t="s">
        <v>119</v>
      </c>
      <c r="E82" t="str">
        <f>"2000"</f>
        <v>2000</v>
      </c>
      <c r="G82" t="s">
        <v>335</v>
      </c>
      <c r="H82" t="s">
        <v>335</v>
      </c>
      <c r="I82" t="s">
        <v>335</v>
      </c>
      <c r="J82" t="s">
        <v>339</v>
      </c>
      <c r="K82" t="s">
        <v>335</v>
      </c>
      <c r="L82" t="s">
        <v>335</v>
      </c>
      <c r="M82" t="s">
        <v>352</v>
      </c>
      <c r="N82" t="s">
        <v>335</v>
      </c>
      <c r="P82" t="s">
        <v>461</v>
      </c>
      <c r="Q82" t="s">
        <v>924</v>
      </c>
      <c r="R82" t="s">
        <v>1010</v>
      </c>
      <c r="S82" t="s">
        <v>1011</v>
      </c>
      <c r="T82" t="s">
        <v>348</v>
      </c>
      <c r="U82" t="s">
        <v>344</v>
      </c>
      <c r="V82">
        <v>-25.575220999999999</v>
      </c>
      <c r="W82">
        <v>30.800277999999999</v>
      </c>
      <c r="X82">
        <v>1088</v>
      </c>
      <c r="Y82" t="s">
        <v>885</v>
      </c>
      <c r="Z82" t="s">
        <v>997</v>
      </c>
      <c r="AA82" t="s">
        <v>1236</v>
      </c>
      <c r="AB82" t="s">
        <v>611</v>
      </c>
      <c r="AC82" t="s">
        <v>1237</v>
      </c>
      <c r="AD82" t="s">
        <v>996</v>
      </c>
      <c r="AE82" t="s">
        <v>364</v>
      </c>
      <c r="AF82" t="s">
        <v>346</v>
      </c>
      <c r="AG82" t="s">
        <v>346</v>
      </c>
      <c r="AH82" t="s">
        <v>346</v>
      </c>
      <c r="AI82" t="s">
        <v>346</v>
      </c>
      <c r="AJ82" t="s">
        <v>339</v>
      </c>
      <c r="AK82">
        <v>10</v>
      </c>
      <c r="AL82" t="s">
        <v>377</v>
      </c>
      <c r="AM82" t="s">
        <v>347</v>
      </c>
      <c r="AN82" t="s">
        <v>348</v>
      </c>
      <c r="AO82" t="s">
        <v>367</v>
      </c>
      <c r="AP82" t="s">
        <v>386</v>
      </c>
      <c r="AQ82" t="s">
        <v>368</v>
      </c>
      <c r="AR82" t="s">
        <v>369</v>
      </c>
      <c r="AS82">
        <v>13</v>
      </c>
      <c r="AT82" t="s">
        <v>349</v>
      </c>
      <c r="AU82" t="s">
        <v>367</v>
      </c>
      <c r="AV82" t="s">
        <v>367</v>
      </c>
      <c r="AW82" t="s">
        <v>367</v>
      </c>
      <c r="AX82" t="s">
        <v>367</v>
      </c>
      <c r="AY82" t="s">
        <v>367</v>
      </c>
      <c r="AZ82" t="s">
        <v>367</v>
      </c>
      <c r="BA82" t="s">
        <v>367</v>
      </c>
      <c r="BB82" t="s">
        <v>367</v>
      </c>
      <c r="BC82">
        <v>3</v>
      </c>
    </row>
    <row r="83" spans="1:55" ht="15" customHeight="1" x14ac:dyDescent="0.35">
      <c r="A83" t="s">
        <v>995</v>
      </c>
      <c r="B83" t="s">
        <v>1570</v>
      </c>
      <c r="C83" t="s">
        <v>129</v>
      </c>
      <c r="D83" t="s">
        <v>81</v>
      </c>
      <c r="E83">
        <v>2005</v>
      </c>
      <c r="F83" t="s">
        <v>130</v>
      </c>
      <c r="G83" t="s">
        <v>335</v>
      </c>
      <c r="H83" t="s">
        <v>335</v>
      </c>
      <c r="I83" t="s">
        <v>335</v>
      </c>
      <c r="J83" t="s">
        <v>339</v>
      </c>
      <c r="K83" t="s">
        <v>335</v>
      </c>
      <c r="L83" t="s">
        <v>335</v>
      </c>
      <c r="M83" t="s">
        <v>352</v>
      </c>
      <c r="N83" t="s">
        <v>352</v>
      </c>
      <c r="P83" t="s">
        <v>387</v>
      </c>
      <c r="Q83" t="s">
        <v>861</v>
      </c>
      <c r="R83" t="s">
        <v>862</v>
      </c>
      <c r="S83" t="s">
        <v>603</v>
      </c>
      <c r="T83" t="s">
        <v>1235</v>
      </c>
      <c r="U83" t="s">
        <v>639</v>
      </c>
      <c r="V83">
        <v>41.580627999999997</v>
      </c>
      <c r="W83">
        <v>-116.019232</v>
      </c>
      <c r="X83">
        <v>2350</v>
      </c>
      <c r="Y83" t="s">
        <v>604</v>
      </c>
      <c r="Z83" t="s">
        <v>1292</v>
      </c>
      <c r="AA83" t="s">
        <v>1236</v>
      </c>
      <c r="AB83" t="s">
        <v>441</v>
      </c>
      <c r="AC83" t="s">
        <v>1237</v>
      </c>
      <c r="AD83" t="s">
        <v>1261</v>
      </c>
      <c r="AE83" t="s">
        <v>364</v>
      </c>
      <c r="AF83">
        <v>1.087</v>
      </c>
      <c r="AG83" t="s">
        <v>346</v>
      </c>
      <c r="AH83">
        <v>1.0309999999999999</v>
      </c>
      <c r="AI83">
        <v>1.1459999999999999</v>
      </c>
      <c r="AJ83" t="s">
        <v>538</v>
      </c>
      <c r="AK83">
        <v>212</v>
      </c>
      <c r="AL83" t="s">
        <v>521</v>
      </c>
      <c r="AM83" t="s">
        <v>452</v>
      </c>
      <c r="AN83" t="s">
        <v>348</v>
      </c>
      <c r="AO83" t="s">
        <v>367</v>
      </c>
      <c r="AP83" t="s">
        <v>350</v>
      </c>
      <c r="AQ83" t="s">
        <v>368</v>
      </c>
      <c r="AR83" t="s">
        <v>369</v>
      </c>
      <c r="AS83">
        <v>998</v>
      </c>
      <c r="AT83" t="s">
        <v>367</v>
      </c>
      <c r="AU83" t="s">
        <v>367</v>
      </c>
      <c r="AV83" t="s">
        <v>367</v>
      </c>
      <c r="AW83" t="s">
        <v>349</v>
      </c>
      <c r="AX83" t="s">
        <v>367</v>
      </c>
      <c r="AY83" t="s">
        <v>349</v>
      </c>
      <c r="AZ83" t="s">
        <v>349</v>
      </c>
      <c r="BA83" t="s">
        <v>367</v>
      </c>
      <c r="BB83" t="s">
        <v>367</v>
      </c>
      <c r="BC83">
        <v>3</v>
      </c>
    </row>
    <row r="84" spans="1:55" ht="15" customHeight="1" x14ac:dyDescent="0.35">
      <c r="A84" t="s">
        <v>995</v>
      </c>
      <c r="B84" t="s">
        <v>1570</v>
      </c>
      <c r="C84" t="s">
        <v>129</v>
      </c>
      <c r="D84" t="s">
        <v>81</v>
      </c>
      <c r="E84">
        <v>2005</v>
      </c>
      <c r="F84" t="s">
        <v>130</v>
      </c>
      <c r="G84" t="s">
        <v>335</v>
      </c>
      <c r="H84" t="s">
        <v>335</v>
      </c>
      <c r="I84" t="s">
        <v>335</v>
      </c>
      <c r="J84" t="s">
        <v>339</v>
      </c>
      <c r="K84" t="s">
        <v>335</v>
      </c>
      <c r="L84" t="s">
        <v>335</v>
      </c>
      <c r="M84" t="s">
        <v>352</v>
      </c>
      <c r="N84" t="s">
        <v>335</v>
      </c>
      <c r="P84" t="s">
        <v>387</v>
      </c>
      <c r="Q84" t="s">
        <v>861</v>
      </c>
      <c r="R84" t="s">
        <v>862</v>
      </c>
      <c r="S84" t="s">
        <v>603</v>
      </c>
      <c r="T84" t="s">
        <v>1235</v>
      </c>
      <c r="U84" t="s">
        <v>639</v>
      </c>
      <c r="V84">
        <v>41.580627999999997</v>
      </c>
      <c r="W84">
        <v>-116.019232</v>
      </c>
      <c r="X84">
        <v>2350</v>
      </c>
      <c r="Y84" t="s">
        <v>604</v>
      </c>
      <c r="Z84" t="s">
        <v>1293</v>
      </c>
      <c r="AA84" t="s">
        <v>393</v>
      </c>
      <c r="AB84" t="s">
        <v>393</v>
      </c>
      <c r="AC84" t="s">
        <v>1237</v>
      </c>
      <c r="AD84" t="s">
        <v>1261</v>
      </c>
      <c r="AE84" t="s">
        <v>364</v>
      </c>
      <c r="AF84" t="s">
        <v>346</v>
      </c>
      <c r="AG84" t="s">
        <v>346</v>
      </c>
      <c r="AH84" t="s">
        <v>346</v>
      </c>
      <c r="AI84" t="s">
        <v>346</v>
      </c>
      <c r="AJ84" t="s">
        <v>339</v>
      </c>
      <c r="AK84">
        <v>212</v>
      </c>
      <c r="AL84" t="s">
        <v>521</v>
      </c>
      <c r="AM84" t="s">
        <v>452</v>
      </c>
      <c r="AN84" t="s">
        <v>348</v>
      </c>
      <c r="AO84" t="s">
        <v>367</v>
      </c>
      <c r="AP84" t="s">
        <v>350</v>
      </c>
      <c r="AQ84" t="s">
        <v>368</v>
      </c>
      <c r="AR84" t="s">
        <v>369</v>
      </c>
      <c r="AS84">
        <v>998</v>
      </c>
      <c r="AT84" t="s">
        <v>367</v>
      </c>
      <c r="AU84" t="s">
        <v>367</v>
      </c>
      <c r="AV84" t="s">
        <v>367</v>
      </c>
      <c r="AW84" t="s">
        <v>349</v>
      </c>
      <c r="AX84" t="s">
        <v>367</v>
      </c>
      <c r="AY84" t="s">
        <v>349</v>
      </c>
      <c r="AZ84" t="s">
        <v>349</v>
      </c>
      <c r="BA84" t="s">
        <v>367</v>
      </c>
      <c r="BB84" t="s">
        <v>367</v>
      </c>
      <c r="BC84">
        <v>3</v>
      </c>
    </row>
    <row r="85" spans="1:55" ht="15" customHeight="1" x14ac:dyDescent="0.35">
      <c r="A85" t="s">
        <v>995</v>
      </c>
      <c r="B85" t="s">
        <v>1571</v>
      </c>
      <c r="C85" t="s">
        <v>131</v>
      </c>
      <c r="D85" t="s">
        <v>108</v>
      </c>
      <c r="E85">
        <v>2006</v>
      </c>
      <c r="F85" t="s">
        <v>132</v>
      </c>
      <c r="G85" t="s">
        <v>335</v>
      </c>
      <c r="H85" t="s">
        <v>335</v>
      </c>
      <c r="I85" t="s">
        <v>335</v>
      </c>
      <c r="J85" t="s">
        <v>339</v>
      </c>
      <c r="K85" t="s">
        <v>335</v>
      </c>
      <c r="L85" t="s">
        <v>335</v>
      </c>
      <c r="M85" t="s">
        <v>352</v>
      </c>
      <c r="N85" t="s">
        <v>352</v>
      </c>
      <c r="P85" t="s">
        <v>480</v>
      </c>
      <c r="Q85" t="s">
        <v>606</v>
      </c>
      <c r="R85" t="s">
        <v>607</v>
      </c>
      <c r="S85" t="s">
        <v>605</v>
      </c>
      <c r="T85" t="s">
        <v>348</v>
      </c>
      <c r="U85" t="s">
        <v>344</v>
      </c>
      <c r="V85">
        <v>38.754849999999998</v>
      </c>
      <c r="W85">
        <v>-100.70361200000001</v>
      </c>
      <c r="X85">
        <v>800</v>
      </c>
      <c r="Y85" t="s">
        <v>608</v>
      </c>
      <c r="Z85" t="s">
        <v>609</v>
      </c>
      <c r="AA85" t="s">
        <v>1247</v>
      </c>
      <c r="AB85" t="s">
        <v>400</v>
      </c>
      <c r="AC85" t="s">
        <v>366</v>
      </c>
      <c r="AD85" t="s">
        <v>433</v>
      </c>
      <c r="AE85" t="s">
        <v>354</v>
      </c>
      <c r="AF85">
        <v>0</v>
      </c>
      <c r="AG85" t="s">
        <v>346</v>
      </c>
      <c r="AH85">
        <v>-1.05</v>
      </c>
      <c r="AI85">
        <v>1.05</v>
      </c>
      <c r="AJ85" t="s">
        <v>592</v>
      </c>
      <c r="AK85">
        <v>59</v>
      </c>
      <c r="AL85" t="s">
        <v>377</v>
      </c>
      <c r="AM85" t="s">
        <v>339</v>
      </c>
      <c r="AN85" t="s">
        <v>348</v>
      </c>
      <c r="AO85" t="s">
        <v>349</v>
      </c>
      <c r="AP85" t="s">
        <v>492</v>
      </c>
      <c r="AQ85" t="s">
        <v>351</v>
      </c>
      <c r="AR85" t="s">
        <v>356</v>
      </c>
      <c r="AS85">
        <v>707</v>
      </c>
      <c r="AT85" t="s">
        <v>349</v>
      </c>
      <c r="AU85" t="s">
        <v>349</v>
      </c>
      <c r="AV85" t="s">
        <v>367</v>
      </c>
      <c r="AW85" t="s">
        <v>367</v>
      </c>
      <c r="AX85" t="s">
        <v>367</v>
      </c>
      <c r="AY85" t="s">
        <v>367</v>
      </c>
      <c r="AZ85" t="s">
        <v>367</v>
      </c>
      <c r="BA85" t="s">
        <v>367</v>
      </c>
      <c r="BB85" t="s">
        <v>367</v>
      </c>
      <c r="BC85">
        <v>11</v>
      </c>
    </row>
    <row r="86" spans="1:55" ht="15" customHeight="1" x14ac:dyDescent="0.35">
      <c r="A86" t="s">
        <v>995</v>
      </c>
      <c r="B86" t="s">
        <v>1572</v>
      </c>
      <c r="C86" t="s">
        <v>1378</v>
      </c>
      <c r="D86" t="s">
        <v>34</v>
      </c>
      <c r="E86">
        <v>2022</v>
      </c>
      <c r="F86" t="s">
        <v>1379</v>
      </c>
      <c r="G86" t="s">
        <v>335</v>
      </c>
      <c r="H86" t="s">
        <v>352</v>
      </c>
      <c r="I86" t="s">
        <v>335</v>
      </c>
      <c r="J86" t="s">
        <v>339</v>
      </c>
      <c r="K86" t="s">
        <v>335</v>
      </c>
      <c r="L86" t="s">
        <v>352</v>
      </c>
      <c r="M86" t="s">
        <v>352</v>
      </c>
      <c r="N86" t="s">
        <v>352</v>
      </c>
      <c r="P86" t="s">
        <v>654</v>
      </c>
      <c r="Q86" t="s">
        <v>860</v>
      </c>
      <c r="R86" t="s">
        <v>1413</v>
      </c>
      <c r="S86" t="s">
        <v>1412</v>
      </c>
      <c r="T86" t="s">
        <v>348</v>
      </c>
      <c r="U86" t="s">
        <v>1416</v>
      </c>
      <c r="V86">
        <v>52.843203000000003</v>
      </c>
      <c r="W86">
        <v>-1.434347</v>
      </c>
      <c r="X86">
        <v>162</v>
      </c>
      <c r="Y86" t="s">
        <v>1415</v>
      </c>
      <c r="Z86" t="s">
        <v>1418</v>
      </c>
      <c r="AA86" t="s">
        <v>1236</v>
      </c>
      <c r="AB86" t="s">
        <v>1417</v>
      </c>
      <c r="AC86" t="s">
        <v>366</v>
      </c>
      <c r="AD86" t="s">
        <v>1419</v>
      </c>
      <c r="AE86" t="s">
        <v>364</v>
      </c>
      <c r="AF86">
        <v>1.45</v>
      </c>
      <c r="AG86" t="s">
        <v>346</v>
      </c>
      <c r="AH86">
        <v>5.5E-2</v>
      </c>
      <c r="AI86">
        <v>1.482</v>
      </c>
      <c r="AJ86" t="s">
        <v>592</v>
      </c>
      <c r="AK86">
        <v>798</v>
      </c>
      <c r="AL86" t="s">
        <v>377</v>
      </c>
      <c r="AM86" t="s">
        <v>347</v>
      </c>
      <c r="AN86" t="s">
        <v>410</v>
      </c>
      <c r="AO86" t="s">
        <v>367</v>
      </c>
      <c r="AP86" t="s">
        <v>411</v>
      </c>
      <c r="AQ86" t="s">
        <v>368</v>
      </c>
      <c r="AR86" t="s">
        <v>369</v>
      </c>
      <c r="AS86">
        <v>42</v>
      </c>
      <c r="AT86" t="s">
        <v>349</v>
      </c>
      <c r="AU86" t="s">
        <v>367</v>
      </c>
      <c r="AV86" t="s">
        <v>367</v>
      </c>
      <c r="AW86" t="s">
        <v>367</v>
      </c>
      <c r="AX86" t="s">
        <v>367</v>
      </c>
      <c r="AY86" t="s">
        <v>367</v>
      </c>
      <c r="AZ86" t="s">
        <v>367</v>
      </c>
      <c r="BA86" t="s">
        <v>367</v>
      </c>
      <c r="BB86" t="s">
        <v>367</v>
      </c>
      <c r="BC86">
        <v>2.5</v>
      </c>
    </row>
    <row r="87" spans="1:55" ht="15" customHeight="1" x14ac:dyDescent="0.35">
      <c r="A87" t="s">
        <v>995</v>
      </c>
      <c r="B87" t="s">
        <v>1572</v>
      </c>
      <c r="C87" t="s">
        <v>1378</v>
      </c>
      <c r="D87" t="s">
        <v>34</v>
      </c>
      <c r="E87">
        <v>2022</v>
      </c>
      <c r="F87" t="s">
        <v>1379</v>
      </c>
      <c r="G87" t="s">
        <v>335</v>
      </c>
      <c r="H87" t="s">
        <v>352</v>
      </c>
      <c r="I87" t="s">
        <v>335</v>
      </c>
      <c r="J87" t="s">
        <v>339</v>
      </c>
      <c r="K87" t="s">
        <v>335</v>
      </c>
      <c r="L87" t="s">
        <v>352</v>
      </c>
      <c r="M87" t="s">
        <v>352</v>
      </c>
      <c r="N87" t="s">
        <v>352</v>
      </c>
      <c r="P87" t="s">
        <v>654</v>
      </c>
      <c r="Q87" t="s">
        <v>860</v>
      </c>
      <c r="R87" t="s">
        <v>1413</v>
      </c>
      <c r="S87" t="s">
        <v>1412</v>
      </c>
      <c r="T87" t="s">
        <v>348</v>
      </c>
      <c r="U87" t="s">
        <v>1416</v>
      </c>
      <c r="V87">
        <v>52.843203000000003</v>
      </c>
      <c r="W87">
        <v>-1.434347</v>
      </c>
      <c r="X87">
        <v>162</v>
      </c>
      <c r="Y87" t="s">
        <v>1415</v>
      </c>
      <c r="Z87" t="s">
        <v>1414</v>
      </c>
      <c r="AA87" t="s">
        <v>1236</v>
      </c>
      <c r="AB87" t="s">
        <v>1420</v>
      </c>
      <c r="AC87" t="s">
        <v>366</v>
      </c>
      <c r="AD87" t="s">
        <v>1421</v>
      </c>
      <c r="AE87" t="s">
        <v>364</v>
      </c>
      <c r="AF87">
        <v>2.0499999999999998</v>
      </c>
      <c r="AG87" t="s">
        <v>346</v>
      </c>
      <c r="AH87">
        <v>2.8000000000000001E-2</v>
      </c>
      <c r="AI87">
        <v>5.4610000000000003</v>
      </c>
      <c r="AJ87" t="s">
        <v>592</v>
      </c>
      <c r="AK87">
        <v>798</v>
      </c>
      <c r="AL87" t="s">
        <v>377</v>
      </c>
      <c r="AM87" t="s">
        <v>347</v>
      </c>
      <c r="AN87" t="s">
        <v>410</v>
      </c>
      <c r="AO87" t="s">
        <v>367</v>
      </c>
      <c r="AP87" t="s">
        <v>411</v>
      </c>
      <c r="AQ87" t="s">
        <v>368</v>
      </c>
      <c r="AR87" t="s">
        <v>369</v>
      </c>
      <c r="AS87">
        <v>42</v>
      </c>
      <c r="AT87" t="s">
        <v>349</v>
      </c>
      <c r="AU87" t="s">
        <v>367</v>
      </c>
      <c r="AV87" t="s">
        <v>367</v>
      </c>
      <c r="AW87" t="s">
        <v>367</v>
      </c>
      <c r="AX87" t="s">
        <v>367</v>
      </c>
      <c r="AY87" t="s">
        <v>367</v>
      </c>
      <c r="AZ87" t="s">
        <v>367</v>
      </c>
      <c r="BA87" t="s">
        <v>367</v>
      </c>
      <c r="BB87" t="s">
        <v>367</v>
      </c>
      <c r="BC87">
        <v>2.5</v>
      </c>
    </row>
    <row r="88" spans="1:55" ht="15" customHeight="1" x14ac:dyDescent="0.35">
      <c r="A88" t="s">
        <v>995</v>
      </c>
      <c r="B88" t="s">
        <v>1572</v>
      </c>
      <c r="C88" t="s">
        <v>1378</v>
      </c>
      <c r="D88" t="s">
        <v>34</v>
      </c>
      <c r="E88">
        <v>2022</v>
      </c>
      <c r="F88" t="s">
        <v>1379</v>
      </c>
      <c r="G88" t="s">
        <v>335</v>
      </c>
      <c r="H88" t="s">
        <v>352</v>
      </c>
      <c r="I88" t="s">
        <v>335</v>
      </c>
      <c r="J88" t="s">
        <v>339</v>
      </c>
      <c r="K88" t="s">
        <v>335</v>
      </c>
      <c r="L88" t="s">
        <v>352</v>
      </c>
      <c r="M88" t="s">
        <v>352</v>
      </c>
      <c r="N88" t="s">
        <v>352</v>
      </c>
      <c r="P88" t="s">
        <v>654</v>
      </c>
      <c r="Q88" t="s">
        <v>860</v>
      </c>
      <c r="R88" t="s">
        <v>1413</v>
      </c>
      <c r="S88" t="s">
        <v>1412</v>
      </c>
      <c r="T88" t="s">
        <v>348</v>
      </c>
      <c r="U88" t="s">
        <v>1416</v>
      </c>
      <c r="V88">
        <v>52.843203000000003</v>
      </c>
      <c r="W88">
        <v>-1.434347</v>
      </c>
      <c r="X88">
        <v>162</v>
      </c>
      <c r="Y88" t="s">
        <v>1415</v>
      </c>
      <c r="Z88" t="s">
        <v>1414</v>
      </c>
      <c r="AA88" t="s">
        <v>1236</v>
      </c>
      <c r="AB88" t="s">
        <v>1420</v>
      </c>
      <c r="AC88" t="s">
        <v>1237</v>
      </c>
      <c r="AD88" t="s">
        <v>1422</v>
      </c>
      <c r="AE88" t="s">
        <v>345</v>
      </c>
      <c r="AF88">
        <v>-3.03</v>
      </c>
      <c r="AG88" t="s">
        <v>346</v>
      </c>
      <c r="AH88">
        <v>-24.163</v>
      </c>
      <c r="AI88">
        <v>-1.788</v>
      </c>
      <c r="AJ88" t="s">
        <v>592</v>
      </c>
      <c r="AK88">
        <v>1388</v>
      </c>
      <c r="AL88" t="s">
        <v>377</v>
      </c>
      <c r="AM88" t="s">
        <v>347</v>
      </c>
      <c r="AN88" t="s">
        <v>410</v>
      </c>
      <c r="AO88" t="s">
        <v>367</v>
      </c>
      <c r="AP88" t="s">
        <v>411</v>
      </c>
      <c r="AQ88" t="s">
        <v>368</v>
      </c>
      <c r="AR88" t="s">
        <v>369</v>
      </c>
      <c r="AS88">
        <v>42</v>
      </c>
      <c r="AT88" t="s">
        <v>349</v>
      </c>
      <c r="AU88" t="s">
        <v>367</v>
      </c>
      <c r="AV88" t="s">
        <v>367</v>
      </c>
      <c r="AW88" t="s">
        <v>367</v>
      </c>
      <c r="AX88" t="s">
        <v>367</v>
      </c>
      <c r="AY88" t="s">
        <v>367</v>
      </c>
      <c r="AZ88" t="s">
        <v>367</v>
      </c>
      <c r="BA88" t="s">
        <v>367</v>
      </c>
      <c r="BB88" t="s">
        <v>367</v>
      </c>
      <c r="BC88">
        <v>2.5</v>
      </c>
    </row>
    <row r="89" spans="1:55" ht="15" customHeight="1" x14ac:dyDescent="0.35">
      <c r="A89" t="s">
        <v>995</v>
      </c>
      <c r="B89" t="s">
        <v>1572</v>
      </c>
      <c r="C89" t="s">
        <v>1378</v>
      </c>
      <c r="D89" t="s">
        <v>34</v>
      </c>
      <c r="E89">
        <v>2022</v>
      </c>
      <c r="F89" t="s">
        <v>1379</v>
      </c>
      <c r="G89" t="s">
        <v>335</v>
      </c>
      <c r="H89" t="s">
        <v>352</v>
      </c>
      <c r="I89" t="s">
        <v>335</v>
      </c>
      <c r="J89" t="s">
        <v>339</v>
      </c>
      <c r="K89" t="s">
        <v>335</v>
      </c>
      <c r="L89" t="s">
        <v>352</v>
      </c>
      <c r="M89" t="s">
        <v>352</v>
      </c>
      <c r="N89" t="s">
        <v>352</v>
      </c>
      <c r="P89" t="s">
        <v>654</v>
      </c>
      <c r="Q89" t="s">
        <v>860</v>
      </c>
      <c r="R89" t="s">
        <v>1413</v>
      </c>
      <c r="S89" t="s">
        <v>1412</v>
      </c>
      <c r="T89" t="s">
        <v>348</v>
      </c>
      <c r="U89" t="s">
        <v>1416</v>
      </c>
      <c r="V89">
        <v>52.843203000000003</v>
      </c>
      <c r="W89">
        <v>-1.434347</v>
      </c>
      <c r="X89">
        <v>162</v>
      </c>
      <c r="Y89" t="s">
        <v>1415</v>
      </c>
      <c r="Z89" t="s">
        <v>1414</v>
      </c>
      <c r="AA89" t="s">
        <v>1236</v>
      </c>
      <c r="AB89" t="s">
        <v>1420</v>
      </c>
      <c r="AC89" t="s">
        <v>1237</v>
      </c>
      <c r="AD89" t="s">
        <v>1423</v>
      </c>
      <c r="AE89" t="s">
        <v>345</v>
      </c>
      <c r="AF89">
        <v>-1.28</v>
      </c>
      <c r="AG89" t="s">
        <v>346</v>
      </c>
      <c r="AH89">
        <v>-2.7149999999999999</v>
      </c>
      <c r="AI89">
        <v>-0.154</v>
      </c>
      <c r="AJ89" t="s">
        <v>592</v>
      </c>
      <c r="AK89">
        <v>1388</v>
      </c>
      <c r="AL89" t="s">
        <v>377</v>
      </c>
      <c r="AM89" t="s">
        <v>347</v>
      </c>
      <c r="AN89" t="s">
        <v>410</v>
      </c>
      <c r="AO89" t="s">
        <v>367</v>
      </c>
      <c r="AP89" t="s">
        <v>411</v>
      </c>
      <c r="AQ89" t="s">
        <v>368</v>
      </c>
      <c r="AR89" t="s">
        <v>369</v>
      </c>
      <c r="AS89">
        <v>42</v>
      </c>
      <c r="AT89" t="s">
        <v>349</v>
      </c>
      <c r="AU89" t="s">
        <v>367</v>
      </c>
      <c r="AV89" t="s">
        <v>367</v>
      </c>
      <c r="AW89" t="s">
        <v>367</v>
      </c>
      <c r="AX89" t="s">
        <v>367</v>
      </c>
      <c r="AY89" t="s">
        <v>367</v>
      </c>
      <c r="AZ89" t="s">
        <v>367</v>
      </c>
      <c r="BA89" t="s">
        <v>367</v>
      </c>
      <c r="BB89" t="s">
        <v>367</v>
      </c>
      <c r="BC89">
        <v>2.5</v>
      </c>
    </row>
    <row r="90" spans="1:55" ht="15" customHeight="1" x14ac:dyDescent="0.35">
      <c r="A90" t="s">
        <v>1065</v>
      </c>
      <c r="B90" t="s">
        <v>1573</v>
      </c>
      <c r="C90" t="s">
        <v>1090</v>
      </c>
      <c r="D90" t="s">
        <v>74</v>
      </c>
      <c r="E90">
        <v>2015</v>
      </c>
      <c r="G90" t="s">
        <v>335</v>
      </c>
      <c r="H90" t="s">
        <v>335</v>
      </c>
      <c r="I90" t="s">
        <v>335</v>
      </c>
      <c r="J90" t="s">
        <v>339</v>
      </c>
      <c r="K90" t="s">
        <v>335</v>
      </c>
      <c r="L90" t="s">
        <v>335</v>
      </c>
      <c r="M90" t="s">
        <v>352</v>
      </c>
      <c r="N90" t="s">
        <v>335</v>
      </c>
      <c r="P90" t="s">
        <v>826</v>
      </c>
      <c r="Q90" t="s">
        <v>890</v>
      </c>
      <c r="R90" t="s">
        <v>908</v>
      </c>
      <c r="S90" t="s">
        <v>906</v>
      </c>
      <c r="T90" t="s">
        <v>348</v>
      </c>
      <c r="U90" t="s">
        <v>344</v>
      </c>
      <c r="V90">
        <v>50</v>
      </c>
      <c r="W90">
        <v>-104</v>
      </c>
      <c r="X90">
        <v>582</v>
      </c>
      <c r="Y90" t="s">
        <v>1135</v>
      </c>
      <c r="AA90" t="s">
        <v>1247</v>
      </c>
      <c r="AB90" t="s">
        <v>400</v>
      </c>
      <c r="AC90" t="s">
        <v>366</v>
      </c>
      <c r="AD90" t="s">
        <v>1136</v>
      </c>
      <c r="AE90" t="s">
        <v>364</v>
      </c>
      <c r="AF90" t="s">
        <v>346</v>
      </c>
      <c r="AG90" t="s">
        <v>346</v>
      </c>
      <c r="AH90" t="s">
        <v>346</v>
      </c>
      <c r="AI90" t="s">
        <v>346</v>
      </c>
      <c r="AJ90" t="s">
        <v>339</v>
      </c>
      <c r="AK90">
        <v>964</v>
      </c>
      <c r="AL90" t="s">
        <v>417</v>
      </c>
      <c r="AM90" t="s">
        <v>347</v>
      </c>
      <c r="AN90" t="s">
        <v>410</v>
      </c>
      <c r="AO90" t="s">
        <v>349</v>
      </c>
      <c r="AP90" t="s">
        <v>497</v>
      </c>
      <c r="AQ90" t="s">
        <v>368</v>
      </c>
      <c r="AR90" t="s">
        <v>369</v>
      </c>
      <c r="AS90">
        <v>160</v>
      </c>
      <c r="AT90" t="s">
        <v>349</v>
      </c>
      <c r="AU90" t="s">
        <v>367</v>
      </c>
      <c r="AV90" t="s">
        <v>367</v>
      </c>
      <c r="AW90" t="s">
        <v>349</v>
      </c>
      <c r="AX90" t="s">
        <v>367</v>
      </c>
      <c r="AY90" t="s">
        <v>349</v>
      </c>
      <c r="AZ90" t="s">
        <v>349</v>
      </c>
      <c r="BA90" t="s">
        <v>349</v>
      </c>
      <c r="BB90" t="s">
        <v>367</v>
      </c>
      <c r="BC90">
        <v>8</v>
      </c>
    </row>
    <row r="91" spans="1:55" ht="15" customHeight="1" x14ac:dyDescent="0.35">
      <c r="A91" t="s">
        <v>1065</v>
      </c>
      <c r="B91" t="s">
        <v>1573</v>
      </c>
      <c r="C91" t="s">
        <v>1090</v>
      </c>
      <c r="D91" t="s">
        <v>74</v>
      </c>
      <c r="E91">
        <v>2015</v>
      </c>
      <c r="G91" t="s">
        <v>335</v>
      </c>
      <c r="H91" t="s">
        <v>335</v>
      </c>
      <c r="I91" t="s">
        <v>335</v>
      </c>
      <c r="J91" t="s">
        <v>339</v>
      </c>
      <c r="K91" t="s">
        <v>335</v>
      </c>
      <c r="L91" t="s">
        <v>335</v>
      </c>
      <c r="M91" t="s">
        <v>352</v>
      </c>
      <c r="N91" t="s">
        <v>352</v>
      </c>
      <c r="P91" t="s">
        <v>826</v>
      </c>
      <c r="Q91" t="s">
        <v>890</v>
      </c>
      <c r="R91" t="s">
        <v>908</v>
      </c>
      <c r="S91" t="s">
        <v>906</v>
      </c>
      <c r="T91" t="s">
        <v>348</v>
      </c>
      <c r="U91" t="s">
        <v>344</v>
      </c>
      <c r="V91">
        <v>50</v>
      </c>
      <c r="W91">
        <v>-104</v>
      </c>
      <c r="X91">
        <v>582</v>
      </c>
      <c r="Y91" t="s">
        <v>1135</v>
      </c>
      <c r="Z91" t="s">
        <v>1142</v>
      </c>
      <c r="AA91" t="s">
        <v>393</v>
      </c>
      <c r="AB91" t="s">
        <v>1141</v>
      </c>
      <c r="AC91" t="s">
        <v>1241</v>
      </c>
      <c r="AD91" t="s">
        <v>1258</v>
      </c>
      <c r="AE91" t="s">
        <v>364</v>
      </c>
      <c r="AF91">
        <v>-0.13</v>
      </c>
      <c r="AG91" t="s">
        <v>346</v>
      </c>
      <c r="AH91">
        <v>-2.1999999999999999E-2</v>
      </c>
      <c r="AI91">
        <v>-4.0000000000000001E-3</v>
      </c>
      <c r="AK91">
        <v>964</v>
      </c>
      <c r="AL91" t="s">
        <v>417</v>
      </c>
      <c r="AM91" t="s">
        <v>347</v>
      </c>
      <c r="AN91" t="s">
        <v>410</v>
      </c>
      <c r="AO91" t="s">
        <v>349</v>
      </c>
      <c r="AP91" t="s">
        <v>497</v>
      </c>
      <c r="AQ91" t="s">
        <v>368</v>
      </c>
      <c r="AR91" t="s">
        <v>369</v>
      </c>
      <c r="AS91">
        <v>160</v>
      </c>
      <c r="AT91" t="s">
        <v>349</v>
      </c>
      <c r="AU91" t="s">
        <v>367</v>
      </c>
      <c r="AV91" t="s">
        <v>367</v>
      </c>
      <c r="AW91" t="s">
        <v>349</v>
      </c>
      <c r="AX91" t="s">
        <v>367</v>
      </c>
      <c r="AY91" t="s">
        <v>349</v>
      </c>
      <c r="AZ91" t="s">
        <v>349</v>
      </c>
      <c r="BA91" t="s">
        <v>349</v>
      </c>
      <c r="BB91" t="s">
        <v>367</v>
      </c>
      <c r="BC91">
        <v>8</v>
      </c>
    </row>
    <row r="92" spans="1:55" ht="15" customHeight="1" x14ac:dyDescent="0.35">
      <c r="A92" t="s">
        <v>1065</v>
      </c>
      <c r="B92" t="s">
        <v>1574</v>
      </c>
      <c r="C92" t="s">
        <v>1113</v>
      </c>
      <c r="D92" t="s">
        <v>1114</v>
      </c>
      <c r="E92">
        <v>2015</v>
      </c>
      <c r="F92" t="s">
        <v>1115</v>
      </c>
      <c r="G92" t="s">
        <v>335</v>
      </c>
      <c r="H92" t="s">
        <v>335</v>
      </c>
      <c r="I92" t="s">
        <v>335</v>
      </c>
      <c r="J92" t="s">
        <v>339</v>
      </c>
      <c r="K92" t="s">
        <v>335</v>
      </c>
      <c r="L92" t="s">
        <v>335</v>
      </c>
      <c r="M92" t="s">
        <v>352</v>
      </c>
      <c r="N92" t="s">
        <v>352</v>
      </c>
      <c r="P92" t="s">
        <v>1021</v>
      </c>
      <c r="Q92" t="s">
        <v>1190</v>
      </c>
      <c r="R92" t="s">
        <v>1191</v>
      </c>
      <c r="S92" t="s">
        <v>1188</v>
      </c>
      <c r="T92" t="s">
        <v>348</v>
      </c>
      <c r="U92" t="s">
        <v>361</v>
      </c>
      <c r="V92">
        <v>78.13</v>
      </c>
      <c r="W92">
        <v>15.38</v>
      </c>
      <c r="X92">
        <v>525</v>
      </c>
      <c r="Y92" t="s">
        <v>1189</v>
      </c>
      <c r="Z92" t="s">
        <v>1187</v>
      </c>
      <c r="AA92" t="s">
        <v>393</v>
      </c>
      <c r="AB92" t="s">
        <v>393</v>
      </c>
      <c r="AC92" t="s">
        <v>1241</v>
      </c>
      <c r="AD92" t="s">
        <v>1193</v>
      </c>
      <c r="AE92" t="s">
        <v>345</v>
      </c>
      <c r="AF92">
        <v>5.6000000000000001E-2</v>
      </c>
      <c r="AG92">
        <v>2.1999999999999999E-2</v>
      </c>
      <c r="AH92" t="s">
        <v>346</v>
      </c>
      <c r="AI92" t="s">
        <v>346</v>
      </c>
      <c r="AJ92" t="s">
        <v>592</v>
      </c>
      <c r="AK92">
        <v>677</v>
      </c>
      <c r="AL92" t="s">
        <v>377</v>
      </c>
      <c r="AM92" t="s">
        <v>347</v>
      </c>
      <c r="AN92" t="s">
        <v>410</v>
      </c>
      <c r="AO92" t="s">
        <v>367</v>
      </c>
      <c r="AP92" t="s">
        <v>411</v>
      </c>
      <c r="AQ92" t="s">
        <v>368</v>
      </c>
      <c r="AR92" t="s">
        <v>369</v>
      </c>
      <c r="AS92">
        <v>35</v>
      </c>
      <c r="AT92" t="s">
        <v>349</v>
      </c>
      <c r="AU92" t="s">
        <v>349</v>
      </c>
      <c r="AV92" t="s">
        <v>367</v>
      </c>
      <c r="AW92" t="s">
        <v>367</v>
      </c>
      <c r="AX92" t="s">
        <v>367</v>
      </c>
      <c r="AY92" t="s">
        <v>367</v>
      </c>
      <c r="AZ92" t="s">
        <v>367</v>
      </c>
      <c r="BA92" t="s">
        <v>367</v>
      </c>
      <c r="BB92" t="s">
        <v>367</v>
      </c>
      <c r="BC92">
        <v>5</v>
      </c>
    </row>
    <row r="93" spans="1:55" ht="15" customHeight="1" x14ac:dyDescent="0.35">
      <c r="A93" t="s">
        <v>1065</v>
      </c>
      <c r="B93" t="s">
        <v>1574</v>
      </c>
      <c r="C93" t="s">
        <v>1113</v>
      </c>
      <c r="D93" t="s">
        <v>1114</v>
      </c>
      <c r="E93">
        <v>2015</v>
      </c>
      <c r="F93" t="s">
        <v>1115</v>
      </c>
      <c r="G93" t="s">
        <v>335</v>
      </c>
      <c r="H93" t="s">
        <v>335</v>
      </c>
      <c r="I93" t="s">
        <v>335</v>
      </c>
      <c r="J93" t="s">
        <v>339</v>
      </c>
      <c r="K93" t="s">
        <v>335</v>
      </c>
      <c r="L93" t="s">
        <v>335</v>
      </c>
      <c r="M93" t="s">
        <v>352</v>
      </c>
      <c r="N93" t="s">
        <v>352</v>
      </c>
      <c r="P93" t="s">
        <v>1021</v>
      </c>
      <c r="Q93" t="s">
        <v>1190</v>
      </c>
      <c r="R93" t="s">
        <v>1191</v>
      </c>
      <c r="S93" t="s">
        <v>1188</v>
      </c>
      <c r="T93" t="s">
        <v>348</v>
      </c>
      <c r="U93" t="s">
        <v>361</v>
      </c>
      <c r="V93">
        <v>78.13</v>
      </c>
      <c r="W93">
        <v>15.38</v>
      </c>
      <c r="X93">
        <v>525</v>
      </c>
      <c r="Y93" t="s">
        <v>1189</v>
      </c>
      <c r="Z93" t="s">
        <v>1294</v>
      </c>
      <c r="AA93" t="s">
        <v>393</v>
      </c>
      <c r="AB93" t="s">
        <v>393</v>
      </c>
      <c r="AC93" t="s">
        <v>1237</v>
      </c>
      <c r="AD93" t="s">
        <v>1261</v>
      </c>
      <c r="AE93" t="s">
        <v>354</v>
      </c>
      <c r="AF93">
        <v>-4.0000000000000001E-3</v>
      </c>
      <c r="AG93">
        <v>3.0000000000000001E-3</v>
      </c>
      <c r="AH93" t="s">
        <v>346</v>
      </c>
      <c r="AI93" t="s">
        <v>346</v>
      </c>
      <c r="AJ93" t="s">
        <v>592</v>
      </c>
      <c r="AK93">
        <v>677</v>
      </c>
      <c r="AL93" t="s">
        <v>377</v>
      </c>
      <c r="AM93" t="s">
        <v>347</v>
      </c>
      <c r="AN93" t="s">
        <v>410</v>
      </c>
      <c r="AO93" t="s">
        <v>367</v>
      </c>
      <c r="AP93" t="s">
        <v>411</v>
      </c>
      <c r="AQ93" t="s">
        <v>368</v>
      </c>
      <c r="AR93" t="s">
        <v>369</v>
      </c>
      <c r="AS93">
        <v>35</v>
      </c>
      <c r="AT93" t="s">
        <v>349</v>
      </c>
      <c r="AU93" t="s">
        <v>349</v>
      </c>
      <c r="AV93" t="s">
        <v>367</v>
      </c>
      <c r="AW93" t="s">
        <v>367</v>
      </c>
      <c r="AX93" t="s">
        <v>367</v>
      </c>
      <c r="AY93" t="s">
        <v>367</v>
      </c>
      <c r="AZ93" t="s">
        <v>367</v>
      </c>
      <c r="BA93" t="s">
        <v>367</v>
      </c>
      <c r="BB93" t="s">
        <v>367</v>
      </c>
      <c r="BC93">
        <v>5</v>
      </c>
    </row>
    <row r="94" spans="1:55" ht="15" customHeight="1" x14ac:dyDescent="0.35">
      <c r="A94" t="s">
        <v>1065</v>
      </c>
      <c r="B94" t="s">
        <v>1574</v>
      </c>
      <c r="C94" t="s">
        <v>1113</v>
      </c>
      <c r="D94" t="s">
        <v>1114</v>
      </c>
      <c r="E94">
        <v>2015</v>
      </c>
      <c r="F94" t="s">
        <v>1115</v>
      </c>
      <c r="G94" t="s">
        <v>335</v>
      </c>
      <c r="H94" t="s">
        <v>335</v>
      </c>
      <c r="I94" t="s">
        <v>335</v>
      </c>
      <c r="J94" t="s">
        <v>339</v>
      </c>
      <c r="K94" t="s">
        <v>335</v>
      </c>
      <c r="L94" t="s">
        <v>335</v>
      </c>
      <c r="M94" t="s">
        <v>352</v>
      </c>
      <c r="N94" t="s">
        <v>352</v>
      </c>
      <c r="P94" t="s">
        <v>1021</v>
      </c>
      <c r="Q94" t="s">
        <v>1190</v>
      </c>
      <c r="R94" t="s">
        <v>1191</v>
      </c>
      <c r="S94" t="s">
        <v>1188</v>
      </c>
      <c r="T94" t="s">
        <v>348</v>
      </c>
      <c r="U94" t="s">
        <v>361</v>
      </c>
      <c r="V94">
        <v>78.13</v>
      </c>
      <c r="W94">
        <v>15.38</v>
      </c>
      <c r="X94">
        <v>525</v>
      </c>
      <c r="Y94" t="s">
        <v>1189</v>
      </c>
      <c r="Z94" t="s">
        <v>1187</v>
      </c>
      <c r="AA94" t="s">
        <v>393</v>
      </c>
      <c r="AB94" t="s">
        <v>393</v>
      </c>
      <c r="AC94" t="s">
        <v>1237</v>
      </c>
      <c r="AD94" t="s">
        <v>1192</v>
      </c>
      <c r="AE94" t="s">
        <v>354</v>
      </c>
      <c r="AF94">
        <v>-1.7000000000000001E-2</v>
      </c>
      <c r="AG94">
        <v>5.1999999999999998E-2</v>
      </c>
      <c r="AH94" t="s">
        <v>346</v>
      </c>
      <c r="AI94" t="s">
        <v>346</v>
      </c>
      <c r="AJ94" t="s">
        <v>592</v>
      </c>
      <c r="AK94">
        <v>677</v>
      </c>
      <c r="AL94" t="s">
        <v>377</v>
      </c>
      <c r="AM94" t="s">
        <v>347</v>
      </c>
      <c r="AN94" t="s">
        <v>410</v>
      </c>
      <c r="AO94" t="s">
        <v>367</v>
      </c>
      <c r="AP94" t="s">
        <v>411</v>
      </c>
      <c r="AQ94" t="s">
        <v>368</v>
      </c>
      <c r="AR94" t="s">
        <v>369</v>
      </c>
      <c r="AS94">
        <v>35</v>
      </c>
      <c r="AT94" t="s">
        <v>349</v>
      </c>
      <c r="AU94" t="s">
        <v>349</v>
      </c>
      <c r="AV94" t="s">
        <v>367</v>
      </c>
      <c r="AW94" t="s">
        <v>367</v>
      </c>
      <c r="AX94" t="s">
        <v>367</v>
      </c>
      <c r="AY94" t="s">
        <v>367</v>
      </c>
      <c r="AZ94" t="s">
        <v>367</v>
      </c>
      <c r="BA94" t="s">
        <v>367</v>
      </c>
      <c r="BB94" t="s">
        <v>367</v>
      </c>
      <c r="BC94">
        <v>5</v>
      </c>
    </row>
    <row r="95" spans="1:55" ht="15" customHeight="1" x14ac:dyDescent="0.35">
      <c r="A95" t="s">
        <v>995</v>
      </c>
      <c r="B95" t="s">
        <v>1575</v>
      </c>
      <c r="C95" t="s">
        <v>134</v>
      </c>
      <c r="D95" t="s">
        <v>135</v>
      </c>
      <c r="E95">
        <v>2021</v>
      </c>
      <c r="F95" t="s">
        <v>136</v>
      </c>
      <c r="G95" t="s">
        <v>335</v>
      </c>
      <c r="H95" t="s">
        <v>335</v>
      </c>
      <c r="I95" t="s">
        <v>335</v>
      </c>
      <c r="J95" t="s">
        <v>339</v>
      </c>
      <c r="K95" t="s">
        <v>335</v>
      </c>
      <c r="L95" t="s">
        <v>335</v>
      </c>
      <c r="M95" t="s">
        <v>352</v>
      </c>
      <c r="N95" t="s">
        <v>352</v>
      </c>
      <c r="P95" t="s">
        <v>549</v>
      </c>
      <c r="Q95" t="s">
        <v>1295</v>
      </c>
      <c r="R95" t="s">
        <v>616</v>
      </c>
      <c r="S95" t="s">
        <v>610</v>
      </c>
      <c r="T95" t="s">
        <v>1235</v>
      </c>
      <c r="U95" t="s">
        <v>1239</v>
      </c>
      <c r="V95">
        <v>34.303271000000002</v>
      </c>
      <c r="W95">
        <v>-94.629666</v>
      </c>
      <c r="X95">
        <v>300</v>
      </c>
      <c r="Y95" t="s">
        <v>613</v>
      </c>
      <c r="Z95" t="s">
        <v>643</v>
      </c>
      <c r="AA95" t="s">
        <v>1236</v>
      </c>
      <c r="AB95" t="s">
        <v>384</v>
      </c>
      <c r="AC95" t="s">
        <v>366</v>
      </c>
      <c r="AD95" t="s">
        <v>615</v>
      </c>
      <c r="AE95" t="s">
        <v>354</v>
      </c>
      <c r="AF95">
        <v>-7.0000000000000001E-3</v>
      </c>
      <c r="AG95">
        <v>7.0000000000000001E-3</v>
      </c>
      <c r="AH95" t="s">
        <v>346</v>
      </c>
      <c r="AI95" t="s">
        <v>346</v>
      </c>
      <c r="AJ95" t="s">
        <v>592</v>
      </c>
      <c r="AK95">
        <v>232</v>
      </c>
      <c r="AL95" t="s">
        <v>377</v>
      </c>
      <c r="AM95" t="s">
        <v>339</v>
      </c>
      <c r="AN95" t="s">
        <v>410</v>
      </c>
      <c r="AO95" t="s">
        <v>367</v>
      </c>
      <c r="AP95" t="s">
        <v>411</v>
      </c>
      <c r="AQ95" t="s">
        <v>368</v>
      </c>
      <c r="AR95" t="s">
        <v>369</v>
      </c>
      <c r="AS95">
        <v>46</v>
      </c>
      <c r="AT95" t="s">
        <v>349</v>
      </c>
      <c r="AU95" t="s">
        <v>349</v>
      </c>
      <c r="AV95" t="s">
        <v>367</v>
      </c>
      <c r="AW95" t="s">
        <v>367</v>
      </c>
      <c r="AX95" t="s">
        <v>367</v>
      </c>
      <c r="AY95" t="s">
        <v>367</v>
      </c>
      <c r="AZ95" t="s">
        <v>367</v>
      </c>
      <c r="BA95" t="s">
        <v>367</v>
      </c>
      <c r="BB95" t="s">
        <v>367</v>
      </c>
      <c r="BC95">
        <v>3</v>
      </c>
    </row>
    <row r="96" spans="1:55" ht="15" customHeight="1" x14ac:dyDescent="0.35">
      <c r="A96" t="s">
        <v>995</v>
      </c>
      <c r="B96" t="s">
        <v>1575</v>
      </c>
      <c r="C96" t="s">
        <v>134</v>
      </c>
      <c r="D96" t="s">
        <v>135</v>
      </c>
      <c r="E96">
        <v>2021</v>
      </c>
      <c r="F96" t="s">
        <v>136</v>
      </c>
      <c r="G96" t="s">
        <v>335</v>
      </c>
      <c r="H96" t="s">
        <v>335</v>
      </c>
      <c r="I96" t="s">
        <v>335</v>
      </c>
      <c r="J96" t="s">
        <v>339</v>
      </c>
      <c r="K96" t="s">
        <v>335</v>
      </c>
      <c r="L96" t="s">
        <v>335</v>
      </c>
      <c r="M96" t="s">
        <v>352</v>
      </c>
      <c r="N96" t="s">
        <v>352</v>
      </c>
      <c r="P96" t="s">
        <v>549</v>
      </c>
      <c r="Q96" t="s">
        <v>1295</v>
      </c>
      <c r="R96" t="s">
        <v>616</v>
      </c>
      <c r="S96" t="s">
        <v>610</v>
      </c>
      <c r="T96" t="s">
        <v>1235</v>
      </c>
      <c r="U96" t="s">
        <v>1239</v>
      </c>
      <c r="V96">
        <v>34.697651</v>
      </c>
      <c r="W96">
        <v>-93.976612000000003</v>
      </c>
      <c r="X96">
        <v>300</v>
      </c>
      <c r="Y96" t="s">
        <v>612</v>
      </c>
      <c r="Z96" t="s">
        <v>643</v>
      </c>
      <c r="AA96" t="s">
        <v>393</v>
      </c>
      <c r="AB96" t="s">
        <v>393</v>
      </c>
      <c r="AC96" t="s">
        <v>366</v>
      </c>
      <c r="AD96" t="s">
        <v>614</v>
      </c>
      <c r="AE96" t="s">
        <v>354</v>
      </c>
      <c r="AF96">
        <v>1.4999999999999999E-2</v>
      </c>
      <c r="AG96">
        <v>1.4E-2</v>
      </c>
      <c r="AH96" t="s">
        <v>346</v>
      </c>
      <c r="AI96" t="s">
        <v>346</v>
      </c>
      <c r="AJ96" t="s">
        <v>592</v>
      </c>
      <c r="AK96">
        <v>612</v>
      </c>
      <c r="AL96" t="s">
        <v>377</v>
      </c>
      <c r="AM96" t="s">
        <v>339</v>
      </c>
      <c r="AN96" t="s">
        <v>410</v>
      </c>
      <c r="AO96" t="s">
        <v>367</v>
      </c>
      <c r="AP96" t="s">
        <v>411</v>
      </c>
      <c r="AQ96" t="s">
        <v>368</v>
      </c>
      <c r="AR96" t="s">
        <v>369</v>
      </c>
      <c r="AS96">
        <v>46</v>
      </c>
      <c r="AT96" t="s">
        <v>349</v>
      </c>
      <c r="AU96" t="s">
        <v>349</v>
      </c>
      <c r="AV96" t="s">
        <v>367</v>
      </c>
      <c r="AW96" t="s">
        <v>367</v>
      </c>
      <c r="AX96" t="s">
        <v>367</v>
      </c>
      <c r="AY96" t="s">
        <v>367</v>
      </c>
      <c r="AZ96" t="s">
        <v>367</v>
      </c>
      <c r="BA96" t="s">
        <v>367</v>
      </c>
      <c r="BB96" t="s">
        <v>367</v>
      </c>
      <c r="BC96">
        <v>3</v>
      </c>
    </row>
    <row r="97" spans="1:55" ht="15" customHeight="1" x14ac:dyDescent="0.35">
      <c r="A97" t="s">
        <v>995</v>
      </c>
      <c r="B97" t="s">
        <v>1576</v>
      </c>
      <c r="C97" t="s">
        <v>138</v>
      </c>
      <c r="D97" t="s">
        <v>119</v>
      </c>
      <c r="E97">
        <v>2007</v>
      </c>
      <c r="F97" t="s">
        <v>1053</v>
      </c>
      <c r="G97" t="s">
        <v>335</v>
      </c>
      <c r="H97" t="s">
        <v>335</v>
      </c>
      <c r="I97" t="s">
        <v>335</v>
      </c>
      <c r="J97" t="s">
        <v>339</v>
      </c>
      <c r="K97" t="s">
        <v>335</v>
      </c>
      <c r="L97" t="s">
        <v>335</v>
      </c>
      <c r="M97" t="s">
        <v>352</v>
      </c>
      <c r="N97" t="s">
        <v>335</v>
      </c>
      <c r="P97" t="s">
        <v>854</v>
      </c>
      <c r="Q97" t="s">
        <v>850</v>
      </c>
      <c r="R97" t="s">
        <v>1013</v>
      </c>
      <c r="S97" t="s">
        <v>1012</v>
      </c>
      <c r="T97" t="s">
        <v>1235</v>
      </c>
      <c r="U97" t="s">
        <v>639</v>
      </c>
      <c r="V97">
        <v>28.197537000000001</v>
      </c>
      <c r="W97">
        <v>-16.462289999999999</v>
      </c>
      <c r="X97">
        <v>336</v>
      </c>
      <c r="Y97" t="s">
        <v>621</v>
      </c>
      <c r="Z97" t="s">
        <v>999</v>
      </c>
      <c r="AA97" t="s">
        <v>1236</v>
      </c>
      <c r="AB97" t="s">
        <v>441</v>
      </c>
      <c r="AC97" t="s">
        <v>366</v>
      </c>
      <c r="AD97" t="s">
        <v>998</v>
      </c>
      <c r="AE97" t="s">
        <v>364</v>
      </c>
      <c r="AF97" t="s">
        <v>346</v>
      </c>
      <c r="AG97" t="s">
        <v>346</v>
      </c>
      <c r="AH97" t="s">
        <v>346</v>
      </c>
      <c r="AI97" t="s">
        <v>346</v>
      </c>
      <c r="AJ97" t="s">
        <v>339</v>
      </c>
      <c r="AK97">
        <v>31</v>
      </c>
      <c r="AL97" t="s">
        <v>377</v>
      </c>
      <c r="AM97" t="s">
        <v>366</v>
      </c>
      <c r="AN97" t="s">
        <v>348</v>
      </c>
      <c r="AO97" t="s">
        <v>349</v>
      </c>
      <c r="AP97" t="s">
        <v>386</v>
      </c>
      <c r="AQ97" t="s">
        <v>368</v>
      </c>
      <c r="AR97" t="s">
        <v>369</v>
      </c>
      <c r="AS97">
        <v>18</v>
      </c>
      <c r="AT97" t="s">
        <v>349</v>
      </c>
      <c r="AU97" t="s">
        <v>349</v>
      </c>
      <c r="AV97" t="s">
        <v>367</v>
      </c>
      <c r="AW97" t="s">
        <v>367</v>
      </c>
      <c r="AX97" t="s">
        <v>367</v>
      </c>
      <c r="AY97" t="s">
        <v>367</v>
      </c>
      <c r="AZ97" t="s">
        <v>367</v>
      </c>
      <c r="BA97" t="s">
        <v>367</v>
      </c>
      <c r="BB97" t="s">
        <v>367</v>
      </c>
      <c r="BC97">
        <v>3.5</v>
      </c>
    </row>
    <row r="98" spans="1:55" ht="15" customHeight="1" x14ac:dyDescent="0.35">
      <c r="A98" t="s">
        <v>995</v>
      </c>
      <c r="B98" t="s">
        <v>1577</v>
      </c>
      <c r="C98" t="s">
        <v>1380</v>
      </c>
      <c r="D98" t="s">
        <v>67</v>
      </c>
      <c r="E98">
        <v>2022</v>
      </c>
      <c r="F98" t="s">
        <v>1381</v>
      </c>
      <c r="G98" t="s">
        <v>335</v>
      </c>
      <c r="H98" t="s">
        <v>352</v>
      </c>
      <c r="I98" t="s">
        <v>335</v>
      </c>
      <c r="J98" t="s">
        <v>339</v>
      </c>
      <c r="K98" t="s">
        <v>335</v>
      </c>
      <c r="L98" t="s">
        <v>352</v>
      </c>
      <c r="M98" t="s">
        <v>352</v>
      </c>
      <c r="N98" t="s">
        <v>335</v>
      </c>
      <c r="P98" t="s">
        <v>461</v>
      </c>
      <c r="Q98" t="s">
        <v>508</v>
      </c>
      <c r="R98" t="s">
        <v>509</v>
      </c>
      <c r="S98" t="s">
        <v>507</v>
      </c>
      <c r="T98" t="s">
        <v>348</v>
      </c>
      <c r="U98" t="s">
        <v>905</v>
      </c>
      <c r="V98">
        <v>45.930297000000003</v>
      </c>
      <c r="W98">
        <v>-72.734019000000004</v>
      </c>
      <c r="X98">
        <v>365</v>
      </c>
      <c r="Y98" t="s">
        <v>1426</v>
      </c>
      <c r="Z98" t="s">
        <v>1424</v>
      </c>
      <c r="AA98" t="s">
        <v>1236</v>
      </c>
      <c r="AB98" t="s">
        <v>514</v>
      </c>
      <c r="AC98" t="s">
        <v>366</v>
      </c>
      <c r="AD98" t="s">
        <v>1425</v>
      </c>
      <c r="AE98" t="s">
        <v>364</v>
      </c>
      <c r="AF98" t="s">
        <v>346</v>
      </c>
      <c r="AG98" t="s">
        <v>346</v>
      </c>
      <c r="AH98" t="s">
        <v>346</v>
      </c>
      <c r="AI98" t="s">
        <v>346</v>
      </c>
      <c r="AJ98" t="s">
        <v>339</v>
      </c>
      <c r="AK98">
        <v>1897</v>
      </c>
      <c r="AL98" t="s">
        <v>528</v>
      </c>
      <c r="AM98" t="s">
        <v>347</v>
      </c>
      <c r="AN98" t="s">
        <v>410</v>
      </c>
      <c r="AO98" t="s">
        <v>367</v>
      </c>
      <c r="AP98" t="s">
        <v>411</v>
      </c>
      <c r="AQ98" t="s">
        <v>368</v>
      </c>
      <c r="AR98" t="s">
        <v>369</v>
      </c>
      <c r="AS98">
        <v>20</v>
      </c>
      <c r="AT98" t="s">
        <v>349</v>
      </c>
      <c r="AU98" t="s">
        <v>367</v>
      </c>
      <c r="AV98" t="s">
        <v>367</v>
      </c>
      <c r="AW98" t="s">
        <v>367</v>
      </c>
      <c r="AX98" t="s">
        <v>367</v>
      </c>
      <c r="AY98" t="s">
        <v>367</v>
      </c>
      <c r="AZ98" t="s">
        <v>367</v>
      </c>
      <c r="BA98" t="s">
        <v>367</v>
      </c>
      <c r="BB98" t="s">
        <v>367</v>
      </c>
      <c r="BC98">
        <v>5.5</v>
      </c>
    </row>
    <row r="99" spans="1:55" ht="15" customHeight="1" x14ac:dyDescent="0.35">
      <c r="A99" t="s">
        <v>995</v>
      </c>
      <c r="B99" t="s">
        <v>1578</v>
      </c>
      <c r="C99" t="s">
        <v>139</v>
      </c>
      <c r="D99" t="s">
        <v>18</v>
      </c>
      <c r="E99">
        <v>2020</v>
      </c>
      <c r="F99" t="s">
        <v>1139</v>
      </c>
      <c r="G99" t="s">
        <v>335</v>
      </c>
      <c r="H99" t="s">
        <v>335</v>
      </c>
      <c r="I99" t="s">
        <v>335</v>
      </c>
      <c r="J99" t="s">
        <v>339</v>
      </c>
      <c r="K99" t="s">
        <v>335</v>
      </c>
      <c r="L99" t="s">
        <v>335</v>
      </c>
      <c r="M99" t="s">
        <v>352</v>
      </c>
      <c r="N99" t="s">
        <v>335</v>
      </c>
      <c r="P99" t="s">
        <v>395</v>
      </c>
      <c r="Q99" t="s">
        <v>1026</v>
      </c>
      <c r="R99" t="s">
        <v>1027</v>
      </c>
      <c r="S99" t="s">
        <v>1018</v>
      </c>
      <c r="T99" t="s">
        <v>348</v>
      </c>
      <c r="U99" t="s">
        <v>344</v>
      </c>
      <c r="V99">
        <v>50.112223999999998</v>
      </c>
      <c r="W99">
        <v>-109.323216</v>
      </c>
      <c r="X99">
        <v>745</v>
      </c>
      <c r="Y99" t="s">
        <v>1014</v>
      </c>
      <c r="Z99" t="s">
        <v>1296</v>
      </c>
      <c r="AA99" t="s">
        <v>1247</v>
      </c>
      <c r="AB99" t="s">
        <v>400</v>
      </c>
      <c r="AC99" t="s">
        <v>346</v>
      </c>
      <c r="AD99" t="s">
        <v>346</v>
      </c>
      <c r="AE99" t="s">
        <v>354</v>
      </c>
      <c r="AF99" t="s">
        <v>346</v>
      </c>
      <c r="AG99" t="s">
        <v>346</v>
      </c>
      <c r="AH99" t="s">
        <v>346</v>
      </c>
      <c r="AI99" t="s">
        <v>346</v>
      </c>
      <c r="AJ99" t="s">
        <v>339</v>
      </c>
      <c r="AK99">
        <v>23</v>
      </c>
      <c r="AL99" t="s">
        <v>377</v>
      </c>
      <c r="AM99" t="s">
        <v>339</v>
      </c>
      <c r="AN99" t="s">
        <v>348</v>
      </c>
      <c r="AO99" t="s">
        <v>349</v>
      </c>
      <c r="AP99" t="s">
        <v>386</v>
      </c>
      <c r="AQ99" t="s">
        <v>368</v>
      </c>
      <c r="AR99" t="s">
        <v>369</v>
      </c>
      <c r="AS99">
        <v>19</v>
      </c>
      <c r="AT99" t="s">
        <v>349</v>
      </c>
      <c r="AU99" t="s">
        <v>349</v>
      </c>
      <c r="AV99" t="s">
        <v>367</v>
      </c>
      <c r="AW99" t="s">
        <v>367</v>
      </c>
      <c r="AX99" t="s">
        <v>367</v>
      </c>
      <c r="AY99" t="s">
        <v>367</v>
      </c>
      <c r="AZ99" t="s">
        <v>367</v>
      </c>
      <c r="BA99" t="s">
        <v>367</v>
      </c>
      <c r="BB99" t="s">
        <v>367</v>
      </c>
      <c r="BC99">
        <v>4.5</v>
      </c>
    </row>
    <row r="100" spans="1:55" ht="15" customHeight="1" x14ac:dyDescent="0.35">
      <c r="A100" t="s">
        <v>995</v>
      </c>
      <c r="B100" t="s">
        <v>1578</v>
      </c>
      <c r="C100" t="s">
        <v>139</v>
      </c>
      <c r="D100" t="s">
        <v>18</v>
      </c>
      <c r="E100">
        <v>2020</v>
      </c>
      <c r="F100" t="s">
        <v>1139</v>
      </c>
      <c r="G100" t="s">
        <v>335</v>
      </c>
      <c r="H100" t="s">
        <v>335</v>
      </c>
      <c r="I100" t="s">
        <v>335</v>
      </c>
      <c r="J100" t="s">
        <v>339</v>
      </c>
      <c r="K100" t="s">
        <v>335</v>
      </c>
      <c r="L100" t="s">
        <v>335</v>
      </c>
      <c r="M100" t="s">
        <v>352</v>
      </c>
      <c r="N100" t="s">
        <v>335</v>
      </c>
      <c r="P100" t="s">
        <v>1021</v>
      </c>
      <c r="Q100" t="s">
        <v>1022</v>
      </c>
      <c r="R100" t="s">
        <v>1023</v>
      </c>
      <c r="S100" t="s">
        <v>1016</v>
      </c>
      <c r="T100" t="s">
        <v>348</v>
      </c>
      <c r="U100" t="s">
        <v>344</v>
      </c>
      <c r="V100">
        <v>50.112223999999998</v>
      </c>
      <c r="W100">
        <v>-109.323216</v>
      </c>
      <c r="X100">
        <v>745</v>
      </c>
      <c r="Y100" t="s">
        <v>1014</v>
      </c>
      <c r="Z100" t="s">
        <v>1296</v>
      </c>
      <c r="AA100" t="s">
        <v>1247</v>
      </c>
      <c r="AB100" t="s">
        <v>400</v>
      </c>
      <c r="AC100" t="s">
        <v>346</v>
      </c>
      <c r="AD100" t="s">
        <v>346</v>
      </c>
      <c r="AE100" t="s">
        <v>354</v>
      </c>
      <c r="AF100" t="s">
        <v>346</v>
      </c>
      <c r="AG100" t="s">
        <v>346</v>
      </c>
      <c r="AH100" t="s">
        <v>346</v>
      </c>
      <c r="AI100" t="s">
        <v>346</v>
      </c>
      <c r="AJ100" t="s">
        <v>339</v>
      </c>
      <c r="AK100">
        <v>211</v>
      </c>
      <c r="AL100" t="s">
        <v>377</v>
      </c>
      <c r="AM100" t="s">
        <v>339</v>
      </c>
      <c r="AN100" t="s">
        <v>348</v>
      </c>
      <c r="AO100" t="s">
        <v>349</v>
      </c>
      <c r="AP100" t="s">
        <v>386</v>
      </c>
      <c r="AQ100" t="s">
        <v>368</v>
      </c>
      <c r="AR100" t="s">
        <v>369</v>
      </c>
      <c r="AS100">
        <v>21</v>
      </c>
      <c r="AT100" t="s">
        <v>349</v>
      </c>
      <c r="AU100" t="s">
        <v>349</v>
      </c>
      <c r="AV100" t="s">
        <v>367</v>
      </c>
      <c r="AW100" t="s">
        <v>367</v>
      </c>
      <c r="AX100" t="s">
        <v>367</v>
      </c>
      <c r="AY100" t="s">
        <v>367</v>
      </c>
      <c r="AZ100" t="s">
        <v>367</v>
      </c>
      <c r="BA100" t="s">
        <v>367</v>
      </c>
      <c r="BB100" t="s">
        <v>367</v>
      </c>
      <c r="BC100">
        <v>4</v>
      </c>
    </row>
    <row r="101" spans="1:55" ht="15" customHeight="1" x14ac:dyDescent="0.35">
      <c r="A101" t="s">
        <v>995</v>
      </c>
      <c r="B101" t="s">
        <v>1578</v>
      </c>
      <c r="C101" t="s">
        <v>139</v>
      </c>
      <c r="D101" t="s">
        <v>18</v>
      </c>
      <c r="E101">
        <v>2020</v>
      </c>
      <c r="F101" t="s">
        <v>1139</v>
      </c>
      <c r="G101" t="s">
        <v>335</v>
      </c>
      <c r="H101" t="s">
        <v>335</v>
      </c>
      <c r="I101" t="s">
        <v>335</v>
      </c>
      <c r="J101" t="s">
        <v>339</v>
      </c>
      <c r="K101" t="s">
        <v>335</v>
      </c>
      <c r="L101" t="s">
        <v>335</v>
      </c>
      <c r="M101" t="s">
        <v>352</v>
      </c>
      <c r="N101" t="s">
        <v>335</v>
      </c>
      <c r="P101" t="s">
        <v>753</v>
      </c>
      <c r="Q101" t="s">
        <v>746</v>
      </c>
      <c r="R101" t="s">
        <v>747</v>
      </c>
      <c r="S101" t="s">
        <v>744</v>
      </c>
      <c r="T101" t="s">
        <v>348</v>
      </c>
      <c r="U101" t="s">
        <v>344</v>
      </c>
      <c r="V101">
        <v>50.112223999999998</v>
      </c>
      <c r="W101">
        <v>-109.323216</v>
      </c>
      <c r="X101">
        <v>745</v>
      </c>
      <c r="Y101" t="s">
        <v>1014</v>
      </c>
      <c r="Z101" t="s">
        <v>1296</v>
      </c>
      <c r="AA101" t="s">
        <v>1247</v>
      </c>
      <c r="AB101" t="s">
        <v>400</v>
      </c>
      <c r="AC101" t="s">
        <v>346</v>
      </c>
      <c r="AD101" t="s">
        <v>346</v>
      </c>
      <c r="AE101" t="s">
        <v>354</v>
      </c>
      <c r="AF101" t="s">
        <v>346</v>
      </c>
      <c r="AG101" t="s">
        <v>346</v>
      </c>
      <c r="AH101" t="s">
        <v>346</v>
      </c>
      <c r="AI101" t="s">
        <v>346</v>
      </c>
      <c r="AJ101" t="s">
        <v>339</v>
      </c>
      <c r="AK101">
        <v>22</v>
      </c>
      <c r="AL101" t="s">
        <v>377</v>
      </c>
      <c r="AM101" t="s">
        <v>339</v>
      </c>
      <c r="AN101" t="s">
        <v>348</v>
      </c>
      <c r="AO101" t="s">
        <v>349</v>
      </c>
      <c r="AP101" t="s">
        <v>386</v>
      </c>
      <c r="AQ101" t="s">
        <v>368</v>
      </c>
      <c r="AR101" t="s">
        <v>369</v>
      </c>
      <c r="AS101">
        <v>34</v>
      </c>
      <c r="AT101" t="s">
        <v>349</v>
      </c>
      <c r="AU101" t="s">
        <v>349</v>
      </c>
      <c r="AV101" t="s">
        <v>367</v>
      </c>
      <c r="AW101" t="s">
        <v>367</v>
      </c>
      <c r="AX101" t="s">
        <v>367</v>
      </c>
      <c r="AY101" t="s">
        <v>367</v>
      </c>
      <c r="AZ101" t="s">
        <v>367</v>
      </c>
      <c r="BA101" t="s">
        <v>367</v>
      </c>
      <c r="BB101" t="s">
        <v>367</v>
      </c>
      <c r="BC101">
        <v>3</v>
      </c>
    </row>
    <row r="102" spans="1:55" ht="15" customHeight="1" x14ac:dyDescent="0.35">
      <c r="A102" t="s">
        <v>995</v>
      </c>
      <c r="B102" t="s">
        <v>1578</v>
      </c>
      <c r="C102" t="s">
        <v>139</v>
      </c>
      <c r="D102" t="s">
        <v>18</v>
      </c>
      <c r="E102">
        <v>2020</v>
      </c>
      <c r="F102" t="s">
        <v>1139</v>
      </c>
      <c r="G102" t="s">
        <v>335</v>
      </c>
      <c r="H102" t="s">
        <v>335</v>
      </c>
      <c r="I102" t="s">
        <v>335</v>
      </c>
      <c r="J102" t="s">
        <v>339</v>
      </c>
      <c r="K102" t="s">
        <v>335</v>
      </c>
      <c r="L102" t="s">
        <v>335</v>
      </c>
      <c r="M102" t="s">
        <v>352</v>
      </c>
      <c r="N102" t="s">
        <v>335</v>
      </c>
      <c r="P102" t="s">
        <v>395</v>
      </c>
      <c r="Q102" t="s">
        <v>748</v>
      </c>
      <c r="R102" t="s">
        <v>749</v>
      </c>
      <c r="S102" t="s">
        <v>745</v>
      </c>
      <c r="T102" t="s">
        <v>348</v>
      </c>
      <c r="U102" t="s">
        <v>344</v>
      </c>
      <c r="V102">
        <v>50.112223999999998</v>
      </c>
      <c r="W102">
        <v>-109.323216</v>
      </c>
      <c r="X102">
        <v>745</v>
      </c>
      <c r="Y102" t="s">
        <v>1014</v>
      </c>
      <c r="Z102" t="s">
        <v>1296</v>
      </c>
      <c r="AA102" t="s">
        <v>1247</v>
      </c>
      <c r="AB102" t="s">
        <v>400</v>
      </c>
      <c r="AC102" t="s">
        <v>346</v>
      </c>
      <c r="AD102" t="s">
        <v>346</v>
      </c>
      <c r="AE102" t="s">
        <v>354</v>
      </c>
      <c r="AF102" t="s">
        <v>346</v>
      </c>
      <c r="AG102" t="s">
        <v>346</v>
      </c>
      <c r="AH102" t="s">
        <v>346</v>
      </c>
      <c r="AI102" t="s">
        <v>346</v>
      </c>
      <c r="AJ102" t="s">
        <v>339</v>
      </c>
      <c r="AK102">
        <v>26</v>
      </c>
      <c r="AL102" t="s">
        <v>377</v>
      </c>
      <c r="AM102" t="s">
        <v>339</v>
      </c>
      <c r="AN102" t="s">
        <v>348</v>
      </c>
      <c r="AO102" t="s">
        <v>349</v>
      </c>
      <c r="AP102" t="s">
        <v>386</v>
      </c>
      <c r="AQ102" t="s">
        <v>368</v>
      </c>
      <c r="AR102" t="s">
        <v>369</v>
      </c>
      <c r="AS102">
        <v>16</v>
      </c>
      <c r="AT102" t="s">
        <v>349</v>
      </c>
      <c r="AU102" t="s">
        <v>349</v>
      </c>
      <c r="AV102" t="s">
        <v>367</v>
      </c>
      <c r="AW102" t="s">
        <v>367</v>
      </c>
      <c r="AX102" t="s">
        <v>367</v>
      </c>
      <c r="AY102" t="s">
        <v>367</v>
      </c>
      <c r="AZ102" t="s">
        <v>367</v>
      </c>
      <c r="BA102" t="s">
        <v>367</v>
      </c>
      <c r="BB102" t="s">
        <v>367</v>
      </c>
      <c r="BC102">
        <v>4</v>
      </c>
    </row>
    <row r="103" spans="1:55" ht="15" customHeight="1" x14ac:dyDescent="0.35">
      <c r="A103" t="s">
        <v>995</v>
      </c>
      <c r="B103" t="s">
        <v>1578</v>
      </c>
      <c r="C103" t="s">
        <v>139</v>
      </c>
      <c r="D103" t="s">
        <v>18</v>
      </c>
      <c r="E103">
        <v>2020</v>
      </c>
      <c r="F103" t="s">
        <v>1139</v>
      </c>
      <c r="G103" t="s">
        <v>335</v>
      </c>
      <c r="H103" t="s">
        <v>335</v>
      </c>
      <c r="I103" t="s">
        <v>335</v>
      </c>
      <c r="J103" t="s">
        <v>339</v>
      </c>
      <c r="K103" t="s">
        <v>335</v>
      </c>
      <c r="L103" t="s">
        <v>335</v>
      </c>
      <c r="M103" t="s">
        <v>352</v>
      </c>
      <c r="N103" t="s">
        <v>335</v>
      </c>
      <c r="P103" t="s">
        <v>854</v>
      </c>
      <c r="Q103" t="s">
        <v>850</v>
      </c>
      <c r="R103" t="s">
        <v>1020</v>
      </c>
      <c r="S103" t="s">
        <v>1015</v>
      </c>
      <c r="T103" t="s">
        <v>348</v>
      </c>
      <c r="U103" t="s">
        <v>344</v>
      </c>
      <c r="V103">
        <v>50.112223999999998</v>
      </c>
      <c r="W103">
        <v>-109.323216</v>
      </c>
      <c r="X103">
        <v>745</v>
      </c>
      <c r="Y103" t="s">
        <v>1014</v>
      </c>
      <c r="Z103" t="s">
        <v>1296</v>
      </c>
      <c r="AA103" t="s">
        <v>1247</v>
      </c>
      <c r="AB103" t="s">
        <v>400</v>
      </c>
      <c r="AC103" t="s">
        <v>346</v>
      </c>
      <c r="AD103" t="s">
        <v>346</v>
      </c>
      <c r="AE103" t="s">
        <v>354</v>
      </c>
      <c r="AF103" t="s">
        <v>346</v>
      </c>
      <c r="AG103" t="s">
        <v>346</v>
      </c>
      <c r="AH103" t="s">
        <v>346</v>
      </c>
      <c r="AI103" t="s">
        <v>346</v>
      </c>
      <c r="AJ103" t="s">
        <v>339</v>
      </c>
      <c r="AK103">
        <v>32</v>
      </c>
      <c r="AL103" t="s">
        <v>377</v>
      </c>
      <c r="AM103" t="s">
        <v>339</v>
      </c>
      <c r="AN103" t="s">
        <v>410</v>
      </c>
      <c r="AO103" t="s">
        <v>349</v>
      </c>
      <c r="AP103" t="s">
        <v>424</v>
      </c>
      <c r="AQ103" t="s">
        <v>368</v>
      </c>
      <c r="AR103" t="s">
        <v>369</v>
      </c>
      <c r="AS103">
        <v>24</v>
      </c>
      <c r="AT103" t="s">
        <v>349</v>
      </c>
      <c r="AU103" t="s">
        <v>349</v>
      </c>
      <c r="AV103" t="s">
        <v>367</v>
      </c>
      <c r="AW103" t="s">
        <v>367</v>
      </c>
      <c r="AX103" t="s">
        <v>367</v>
      </c>
      <c r="AY103" t="s">
        <v>367</v>
      </c>
      <c r="AZ103" t="s">
        <v>367</v>
      </c>
      <c r="BA103" t="s">
        <v>367</v>
      </c>
      <c r="BB103" t="s">
        <v>367</v>
      </c>
      <c r="BC103">
        <v>4.5</v>
      </c>
    </row>
    <row r="104" spans="1:55" ht="15" customHeight="1" x14ac:dyDescent="0.35">
      <c r="A104" t="s">
        <v>995</v>
      </c>
      <c r="B104" t="s">
        <v>1578</v>
      </c>
      <c r="C104" t="s">
        <v>139</v>
      </c>
      <c r="D104" t="s">
        <v>18</v>
      </c>
      <c r="E104">
        <v>2020</v>
      </c>
      <c r="F104" t="s">
        <v>1139</v>
      </c>
      <c r="G104" t="s">
        <v>335</v>
      </c>
      <c r="H104" t="s">
        <v>335</v>
      </c>
      <c r="I104" t="s">
        <v>335</v>
      </c>
      <c r="J104" t="s">
        <v>339</v>
      </c>
      <c r="K104" t="s">
        <v>335</v>
      </c>
      <c r="L104" t="s">
        <v>335</v>
      </c>
      <c r="M104" t="s">
        <v>352</v>
      </c>
      <c r="N104" t="s">
        <v>335</v>
      </c>
      <c r="P104" t="s">
        <v>395</v>
      </c>
      <c r="Q104" t="s">
        <v>1024</v>
      </c>
      <c r="R104" t="s">
        <v>1025</v>
      </c>
      <c r="S104" t="s">
        <v>1017</v>
      </c>
      <c r="T104" t="s">
        <v>348</v>
      </c>
      <c r="U104" t="s">
        <v>344</v>
      </c>
      <c r="V104">
        <v>50.112223999999998</v>
      </c>
      <c r="W104">
        <v>-109.323216</v>
      </c>
      <c r="X104">
        <v>745</v>
      </c>
      <c r="Y104" t="s">
        <v>1014</v>
      </c>
      <c r="Z104" t="s">
        <v>1296</v>
      </c>
      <c r="AA104" t="s">
        <v>1247</v>
      </c>
      <c r="AB104" t="s">
        <v>400</v>
      </c>
      <c r="AC104" t="s">
        <v>346</v>
      </c>
      <c r="AD104" t="s">
        <v>346</v>
      </c>
      <c r="AE104" t="s">
        <v>354</v>
      </c>
      <c r="AF104">
        <v>-8.8999999999999996E-2</v>
      </c>
      <c r="AG104">
        <v>7.0000000000000007E-2</v>
      </c>
      <c r="AH104" t="s">
        <v>346</v>
      </c>
      <c r="AI104" t="s">
        <v>346</v>
      </c>
      <c r="AJ104" t="s">
        <v>339</v>
      </c>
      <c r="AK104">
        <v>56</v>
      </c>
      <c r="AL104" t="s">
        <v>377</v>
      </c>
      <c r="AM104" t="s">
        <v>339</v>
      </c>
      <c r="AN104" t="s">
        <v>348</v>
      </c>
      <c r="AO104" t="s">
        <v>349</v>
      </c>
      <c r="AP104" t="s">
        <v>386</v>
      </c>
      <c r="AQ104" t="s">
        <v>368</v>
      </c>
      <c r="AR104" t="s">
        <v>369</v>
      </c>
      <c r="AS104">
        <v>25</v>
      </c>
      <c r="AT104" t="s">
        <v>349</v>
      </c>
      <c r="AU104" t="s">
        <v>349</v>
      </c>
      <c r="AV104" t="s">
        <v>367</v>
      </c>
      <c r="AW104" t="s">
        <v>367</v>
      </c>
      <c r="AX104" t="s">
        <v>367</v>
      </c>
      <c r="AY104" t="s">
        <v>367</v>
      </c>
      <c r="AZ104" t="s">
        <v>367</v>
      </c>
      <c r="BA104" t="s">
        <v>367</v>
      </c>
      <c r="BB104" t="s">
        <v>367</v>
      </c>
      <c r="BC104">
        <v>4</v>
      </c>
    </row>
    <row r="105" spans="1:55" ht="15" customHeight="1" x14ac:dyDescent="0.35">
      <c r="A105" t="s">
        <v>995</v>
      </c>
      <c r="B105" t="s">
        <v>1578</v>
      </c>
      <c r="C105" t="s">
        <v>139</v>
      </c>
      <c r="D105" t="s">
        <v>18</v>
      </c>
      <c r="E105">
        <v>2020</v>
      </c>
      <c r="F105" t="s">
        <v>1139</v>
      </c>
      <c r="G105" t="s">
        <v>335</v>
      </c>
      <c r="H105" t="s">
        <v>335</v>
      </c>
      <c r="I105" t="s">
        <v>335</v>
      </c>
      <c r="J105" t="s">
        <v>339</v>
      </c>
      <c r="K105" t="s">
        <v>335</v>
      </c>
      <c r="L105" t="s">
        <v>335</v>
      </c>
      <c r="M105" t="s">
        <v>352</v>
      </c>
      <c r="N105" t="s">
        <v>335</v>
      </c>
      <c r="P105" t="s">
        <v>765</v>
      </c>
      <c r="Q105" t="s">
        <v>1028</v>
      </c>
      <c r="R105" t="s">
        <v>1029</v>
      </c>
      <c r="S105" t="s">
        <v>1019</v>
      </c>
      <c r="T105" t="s">
        <v>348</v>
      </c>
      <c r="U105" t="s">
        <v>344</v>
      </c>
      <c r="V105">
        <v>50.112223999999998</v>
      </c>
      <c r="W105">
        <v>-109.323216</v>
      </c>
      <c r="X105">
        <v>745</v>
      </c>
      <c r="Y105" t="s">
        <v>1014</v>
      </c>
      <c r="Z105" t="s">
        <v>1296</v>
      </c>
      <c r="AA105" t="s">
        <v>1247</v>
      </c>
      <c r="AB105" t="s">
        <v>400</v>
      </c>
      <c r="AC105" t="s">
        <v>346</v>
      </c>
      <c r="AD105" t="s">
        <v>346</v>
      </c>
      <c r="AE105" t="s">
        <v>354</v>
      </c>
      <c r="AF105" t="s">
        <v>346</v>
      </c>
      <c r="AG105" t="s">
        <v>346</v>
      </c>
      <c r="AH105" t="s">
        <v>346</v>
      </c>
      <c r="AI105" t="s">
        <v>346</v>
      </c>
      <c r="AJ105" t="s">
        <v>339</v>
      </c>
      <c r="AK105">
        <v>19</v>
      </c>
      <c r="AL105" t="s">
        <v>377</v>
      </c>
      <c r="AM105" t="s">
        <v>339</v>
      </c>
      <c r="AN105" t="s">
        <v>410</v>
      </c>
      <c r="AO105" t="s">
        <v>349</v>
      </c>
      <c r="AP105" t="s">
        <v>424</v>
      </c>
      <c r="AQ105" t="s">
        <v>368</v>
      </c>
      <c r="AR105" t="s">
        <v>369</v>
      </c>
      <c r="AS105">
        <v>103</v>
      </c>
      <c r="AT105" t="s">
        <v>349</v>
      </c>
      <c r="AU105" t="s">
        <v>349</v>
      </c>
      <c r="AV105" t="s">
        <v>367</v>
      </c>
      <c r="AW105" t="s">
        <v>367</v>
      </c>
      <c r="AX105" t="s">
        <v>367</v>
      </c>
      <c r="AY105" t="s">
        <v>367</v>
      </c>
      <c r="AZ105" t="s">
        <v>367</v>
      </c>
      <c r="BA105" t="s">
        <v>367</v>
      </c>
      <c r="BB105" t="s">
        <v>367</v>
      </c>
      <c r="BC105">
        <v>5</v>
      </c>
    </row>
    <row r="106" spans="1:55" ht="15" customHeight="1" x14ac:dyDescent="0.35">
      <c r="A106" t="s">
        <v>995</v>
      </c>
      <c r="B106" t="s">
        <v>1579</v>
      </c>
      <c r="C106" t="s">
        <v>140</v>
      </c>
      <c r="D106" t="s">
        <v>141</v>
      </c>
      <c r="E106">
        <v>2017</v>
      </c>
      <c r="F106" t="s">
        <v>142</v>
      </c>
      <c r="G106" t="s">
        <v>335</v>
      </c>
      <c r="H106" t="s">
        <v>335</v>
      </c>
      <c r="I106" t="s">
        <v>335</v>
      </c>
      <c r="J106" t="s">
        <v>339</v>
      </c>
      <c r="K106" t="s">
        <v>335</v>
      </c>
      <c r="L106" t="s">
        <v>335</v>
      </c>
      <c r="M106" t="s">
        <v>352</v>
      </c>
      <c r="N106" t="s">
        <v>352</v>
      </c>
      <c r="P106" t="s">
        <v>480</v>
      </c>
      <c r="Q106" t="s">
        <v>619</v>
      </c>
      <c r="R106" t="s">
        <v>620</v>
      </c>
      <c r="S106" t="s">
        <v>617</v>
      </c>
      <c r="T106" t="s">
        <v>348</v>
      </c>
      <c r="U106" t="s">
        <v>344</v>
      </c>
      <c r="V106">
        <v>46.016433999999997</v>
      </c>
      <c r="W106">
        <v>-102.661495</v>
      </c>
      <c r="X106">
        <v>828</v>
      </c>
      <c r="Y106" t="s">
        <v>618</v>
      </c>
      <c r="Z106" t="s">
        <v>609</v>
      </c>
      <c r="AA106" t="s">
        <v>1247</v>
      </c>
      <c r="AB106" t="s">
        <v>400</v>
      </c>
      <c r="AC106" t="s">
        <v>366</v>
      </c>
      <c r="AD106" t="s">
        <v>433</v>
      </c>
      <c r="AE106" t="s">
        <v>364</v>
      </c>
      <c r="AF106">
        <v>-0.7</v>
      </c>
      <c r="AG106">
        <v>0.3</v>
      </c>
      <c r="AH106" t="s">
        <v>346</v>
      </c>
      <c r="AI106" t="s">
        <v>346</v>
      </c>
      <c r="AJ106" t="s">
        <v>592</v>
      </c>
      <c r="AK106">
        <v>193</v>
      </c>
      <c r="AL106" t="s">
        <v>377</v>
      </c>
      <c r="AM106" t="s">
        <v>366</v>
      </c>
      <c r="AN106" t="s">
        <v>348</v>
      </c>
      <c r="AO106" t="s">
        <v>349</v>
      </c>
      <c r="AP106" t="s">
        <v>492</v>
      </c>
      <c r="AQ106" t="s">
        <v>351</v>
      </c>
      <c r="AR106" t="s">
        <v>356</v>
      </c>
      <c r="AS106">
        <v>1750</v>
      </c>
      <c r="AT106" t="s">
        <v>349</v>
      </c>
      <c r="AU106" t="s">
        <v>349</v>
      </c>
      <c r="AV106" t="s">
        <v>367</v>
      </c>
      <c r="AW106" t="s">
        <v>367</v>
      </c>
      <c r="AX106" t="s">
        <v>367</v>
      </c>
      <c r="AY106" t="s">
        <v>367</v>
      </c>
      <c r="AZ106" t="s">
        <v>367</v>
      </c>
      <c r="BA106" t="s">
        <v>367</v>
      </c>
      <c r="BB106" t="s">
        <v>367</v>
      </c>
      <c r="BC106">
        <v>11</v>
      </c>
    </row>
    <row r="107" spans="1:55" ht="15" customHeight="1" x14ac:dyDescent="0.35">
      <c r="A107" t="s">
        <v>995</v>
      </c>
      <c r="B107" t="s">
        <v>1580</v>
      </c>
      <c r="C107" t="s">
        <v>143</v>
      </c>
      <c r="D107" t="s">
        <v>42</v>
      </c>
      <c r="E107">
        <v>2008</v>
      </c>
      <c r="F107" t="s">
        <v>144</v>
      </c>
      <c r="G107" t="s">
        <v>335</v>
      </c>
      <c r="H107" t="s">
        <v>335</v>
      </c>
      <c r="I107" t="s">
        <v>335</v>
      </c>
      <c r="J107" t="s">
        <v>339</v>
      </c>
      <c r="K107" t="s">
        <v>335</v>
      </c>
      <c r="L107" t="s">
        <v>335</v>
      </c>
      <c r="M107" t="s">
        <v>352</v>
      </c>
      <c r="N107" t="s">
        <v>352</v>
      </c>
      <c r="P107" t="s">
        <v>549</v>
      </c>
      <c r="Q107" t="s">
        <v>622</v>
      </c>
      <c r="R107" t="s">
        <v>623</v>
      </c>
      <c r="S107" t="s">
        <v>1517</v>
      </c>
      <c r="T107" t="s">
        <v>1235</v>
      </c>
      <c r="U107" t="s">
        <v>1239</v>
      </c>
      <c r="V107">
        <v>46.2</v>
      </c>
      <c r="W107">
        <v>7.4</v>
      </c>
      <c r="X107">
        <v>482</v>
      </c>
      <c r="Y107" t="s">
        <v>621</v>
      </c>
      <c r="Z107" t="s">
        <v>1297</v>
      </c>
      <c r="AA107" t="s">
        <v>1247</v>
      </c>
      <c r="AB107" t="s">
        <v>400</v>
      </c>
      <c r="AC107" t="s">
        <v>366</v>
      </c>
      <c r="AD107" t="s">
        <v>433</v>
      </c>
      <c r="AE107" t="s">
        <v>364</v>
      </c>
      <c r="AF107">
        <v>-7.9000000000000001E-2</v>
      </c>
      <c r="AG107">
        <v>2.7199999999999998E-2</v>
      </c>
      <c r="AH107" t="s">
        <v>346</v>
      </c>
      <c r="AI107" t="s">
        <v>346</v>
      </c>
      <c r="AJ107" t="s">
        <v>592</v>
      </c>
      <c r="AK107">
        <v>118</v>
      </c>
      <c r="AL107" t="s">
        <v>528</v>
      </c>
      <c r="AM107" t="s">
        <v>347</v>
      </c>
      <c r="AN107" t="s">
        <v>410</v>
      </c>
      <c r="AO107" t="s">
        <v>367</v>
      </c>
      <c r="AP107" t="s">
        <v>411</v>
      </c>
      <c r="AQ107" t="s">
        <v>368</v>
      </c>
      <c r="AR107" t="s">
        <v>369</v>
      </c>
      <c r="AS107">
        <v>40</v>
      </c>
      <c r="AT107" t="s">
        <v>349</v>
      </c>
      <c r="AU107" t="s">
        <v>367</v>
      </c>
      <c r="AV107" t="s">
        <v>367</v>
      </c>
      <c r="AW107" t="s">
        <v>367</v>
      </c>
      <c r="AX107" t="s">
        <v>367</v>
      </c>
      <c r="AY107" t="s">
        <v>367</v>
      </c>
      <c r="AZ107" t="s">
        <v>367</v>
      </c>
      <c r="BA107" t="s">
        <v>367</v>
      </c>
      <c r="BB107" t="s">
        <v>367</v>
      </c>
      <c r="BC107">
        <v>9.5</v>
      </c>
    </row>
    <row r="108" spans="1:55" ht="15" customHeight="1" x14ac:dyDescent="0.35">
      <c r="A108" t="s">
        <v>995</v>
      </c>
      <c r="B108" t="s">
        <v>1581</v>
      </c>
      <c r="C108" t="s">
        <v>145</v>
      </c>
      <c r="D108" t="s">
        <v>146</v>
      </c>
      <c r="E108" t="str">
        <f>"1997"</f>
        <v>1997</v>
      </c>
      <c r="F108" t="s">
        <v>147</v>
      </c>
      <c r="G108" t="s">
        <v>335</v>
      </c>
      <c r="H108" t="s">
        <v>335</v>
      </c>
      <c r="I108" t="s">
        <v>335</v>
      </c>
      <c r="J108" t="s">
        <v>339</v>
      </c>
      <c r="K108" t="s">
        <v>335</v>
      </c>
      <c r="L108" t="s">
        <v>335</v>
      </c>
      <c r="M108" t="s">
        <v>352</v>
      </c>
      <c r="N108" t="s">
        <v>335</v>
      </c>
      <c r="P108" t="s">
        <v>387</v>
      </c>
      <c r="Q108" t="s">
        <v>627</v>
      </c>
      <c r="R108" t="s">
        <v>628</v>
      </c>
      <c r="S108" t="s">
        <v>624</v>
      </c>
      <c r="T108" t="s">
        <v>1249</v>
      </c>
      <c r="U108" t="s">
        <v>422</v>
      </c>
      <c r="V108">
        <v>58.283710999999997</v>
      </c>
      <c r="W108">
        <v>-134.535022</v>
      </c>
      <c r="X108">
        <v>540</v>
      </c>
      <c r="Y108" t="s">
        <v>626</v>
      </c>
      <c r="AA108" t="s">
        <v>1236</v>
      </c>
      <c r="AB108" t="s">
        <v>384</v>
      </c>
      <c r="AC108" t="s">
        <v>366</v>
      </c>
      <c r="AD108" t="s">
        <v>625</v>
      </c>
      <c r="AE108" t="s">
        <v>354</v>
      </c>
      <c r="AF108" t="s">
        <v>346</v>
      </c>
      <c r="AG108" t="s">
        <v>346</v>
      </c>
      <c r="AH108" t="s">
        <v>346</v>
      </c>
      <c r="AI108" t="s">
        <v>346</v>
      </c>
      <c r="AJ108" t="s">
        <v>339</v>
      </c>
      <c r="AK108">
        <v>123</v>
      </c>
      <c r="AL108" t="s">
        <v>377</v>
      </c>
      <c r="AM108" t="s">
        <v>339</v>
      </c>
      <c r="AN108" t="s">
        <v>348</v>
      </c>
      <c r="AO108" t="s">
        <v>367</v>
      </c>
      <c r="AP108" t="s">
        <v>350</v>
      </c>
      <c r="AQ108" t="s">
        <v>368</v>
      </c>
      <c r="AR108" t="s">
        <v>369</v>
      </c>
      <c r="AS108">
        <v>4650</v>
      </c>
      <c r="AT108" t="s">
        <v>367</v>
      </c>
      <c r="AU108" t="s">
        <v>367</v>
      </c>
      <c r="AV108" t="s">
        <v>367</v>
      </c>
      <c r="AW108" t="s">
        <v>349</v>
      </c>
      <c r="AX108" t="s">
        <v>349</v>
      </c>
      <c r="AY108" t="s">
        <v>349</v>
      </c>
      <c r="AZ108" t="s">
        <v>349</v>
      </c>
      <c r="BA108" t="s">
        <v>349</v>
      </c>
      <c r="BB108" t="s">
        <v>349</v>
      </c>
      <c r="BC108">
        <v>2</v>
      </c>
    </row>
    <row r="109" spans="1:55" ht="15" customHeight="1" x14ac:dyDescent="0.35">
      <c r="A109" t="s">
        <v>995</v>
      </c>
      <c r="B109" t="s">
        <v>1582</v>
      </c>
      <c r="C109" t="s">
        <v>148</v>
      </c>
      <c r="D109" t="s">
        <v>149</v>
      </c>
      <c r="E109">
        <v>2003</v>
      </c>
      <c r="F109" t="s">
        <v>150</v>
      </c>
      <c r="G109" t="s">
        <v>335</v>
      </c>
      <c r="H109" t="s">
        <v>335</v>
      </c>
      <c r="I109" t="s">
        <v>335</v>
      </c>
      <c r="J109" t="s">
        <v>339</v>
      </c>
      <c r="K109" t="s">
        <v>335</v>
      </c>
      <c r="L109" t="s">
        <v>335</v>
      </c>
      <c r="M109" t="s">
        <v>352</v>
      </c>
      <c r="N109" t="s">
        <v>335</v>
      </c>
      <c r="P109" t="s">
        <v>632</v>
      </c>
      <c r="Q109" t="s">
        <v>633</v>
      </c>
      <c r="R109" t="s">
        <v>634</v>
      </c>
      <c r="S109" t="s">
        <v>631</v>
      </c>
      <c r="T109" t="s">
        <v>1249</v>
      </c>
      <c r="U109" t="s">
        <v>422</v>
      </c>
      <c r="V109">
        <v>50.35</v>
      </c>
      <c r="W109">
        <v>-127.26</v>
      </c>
      <c r="X109">
        <v>255</v>
      </c>
      <c r="Y109" t="s">
        <v>630</v>
      </c>
      <c r="Z109" t="s">
        <v>1298</v>
      </c>
      <c r="AA109" t="s">
        <v>1236</v>
      </c>
      <c r="AB109" t="s">
        <v>629</v>
      </c>
      <c r="AC109" t="s">
        <v>1237</v>
      </c>
      <c r="AD109" t="s">
        <v>1299</v>
      </c>
      <c r="AE109" t="s">
        <v>791</v>
      </c>
      <c r="AF109">
        <v>6.67</v>
      </c>
      <c r="AG109" t="s">
        <v>346</v>
      </c>
      <c r="AH109" t="s">
        <v>346</v>
      </c>
      <c r="AI109" t="s">
        <v>346</v>
      </c>
      <c r="AJ109" t="s">
        <v>578</v>
      </c>
      <c r="AK109" t="s">
        <v>346</v>
      </c>
      <c r="AL109" t="s">
        <v>339</v>
      </c>
      <c r="AM109" t="s">
        <v>347</v>
      </c>
      <c r="AN109" t="s">
        <v>410</v>
      </c>
      <c r="AO109" t="s">
        <v>349</v>
      </c>
      <c r="AP109" t="s">
        <v>497</v>
      </c>
      <c r="AQ109" t="s">
        <v>351</v>
      </c>
      <c r="AR109" t="s">
        <v>369</v>
      </c>
      <c r="AS109">
        <v>775</v>
      </c>
      <c r="AT109" t="s">
        <v>367</v>
      </c>
      <c r="AU109" t="s">
        <v>367</v>
      </c>
      <c r="AV109" t="s">
        <v>367</v>
      </c>
      <c r="AW109" t="s">
        <v>367</v>
      </c>
      <c r="AX109" t="s">
        <v>349</v>
      </c>
      <c r="AY109" t="s">
        <v>367</v>
      </c>
      <c r="AZ109" t="s">
        <v>367</v>
      </c>
      <c r="BA109" t="s">
        <v>367</v>
      </c>
      <c r="BB109" t="s">
        <v>367</v>
      </c>
      <c r="BC109">
        <v>1</v>
      </c>
    </row>
    <row r="110" spans="1:55" ht="15" customHeight="1" x14ac:dyDescent="0.35">
      <c r="A110" t="s">
        <v>995</v>
      </c>
      <c r="B110" t="s">
        <v>1583</v>
      </c>
      <c r="C110" t="s">
        <v>151</v>
      </c>
      <c r="D110" t="s">
        <v>152</v>
      </c>
      <c r="E110">
        <v>2021</v>
      </c>
      <c r="F110" t="s">
        <v>153</v>
      </c>
      <c r="G110" t="s">
        <v>335</v>
      </c>
      <c r="H110" t="s">
        <v>335</v>
      </c>
      <c r="I110" t="s">
        <v>335</v>
      </c>
      <c r="J110" t="s">
        <v>339</v>
      </c>
      <c r="K110" t="s">
        <v>335</v>
      </c>
      <c r="L110" t="s">
        <v>335</v>
      </c>
      <c r="M110" t="s">
        <v>352</v>
      </c>
      <c r="N110" t="s">
        <v>335</v>
      </c>
      <c r="P110" t="s">
        <v>1030</v>
      </c>
      <c r="Q110" t="s">
        <v>1031</v>
      </c>
      <c r="R110" t="s">
        <v>1032</v>
      </c>
      <c r="S110" t="s">
        <v>1000</v>
      </c>
      <c r="T110" t="s">
        <v>1249</v>
      </c>
      <c r="U110" t="s">
        <v>422</v>
      </c>
      <c r="V110">
        <v>-43.352682000000001</v>
      </c>
      <c r="W110">
        <v>147.25944100000001</v>
      </c>
      <c r="X110">
        <v>367</v>
      </c>
      <c r="Y110">
        <v>2020</v>
      </c>
      <c r="Z110" t="s">
        <v>1033</v>
      </c>
      <c r="AA110" t="s">
        <v>1236</v>
      </c>
      <c r="AB110" t="s">
        <v>441</v>
      </c>
      <c r="AC110" t="s">
        <v>1237</v>
      </c>
      <c r="AD110" t="s">
        <v>1001</v>
      </c>
      <c r="AE110" t="s">
        <v>364</v>
      </c>
      <c r="AF110" t="s">
        <v>346</v>
      </c>
      <c r="AG110" t="s">
        <v>346</v>
      </c>
      <c r="AH110" t="s">
        <v>346</v>
      </c>
      <c r="AI110" t="s">
        <v>346</v>
      </c>
      <c r="AJ110" t="s">
        <v>339</v>
      </c>
      <c r="AK110">
        <v>100</v>
      </c>
      <c r="AL110" t="s">
        <v>377</v>
      </c>
      <c r="AM110" t="s">
        <v>366</v>
      </c>
      <c r="AN110" t="s">
        <v>410</v>
      </c>
      <c r="AO110" t="s">
        <v>349</v>
      </c>
      <c r="AP110" t="s">
        <v>497</v>
      </c>
      <c r="AQ110" t="s">
        <v>368</v>
      </c>
      <c r="AR110" t="s">
        <v>369</v>
      </c>
      <c r="AS110">
        <v>705</v>
      </c>
      <c r="AT110" t="s">
        <v>349</v>
      </c>
      <c r="AU110" t="s">
        <v>367</v>
      </c>
      <c r="AV110" t="s">
        <v>367</v>
      </c>
      <c r="AW110" t="s">
        <v>367</v>
      </c>
      <c r="AX110" t="s">
        <v>349</v>
      </c>
      <c r="AY110" t="s">
        <v>367</v>
      </c>
      <c r="AZ110" t="s">
        <v>367</v>
      </c>
      <c r="BA110" t="s">
        <v>367</v>
      </c>
      <c r="BB110" t="s">
        <v>367</v>
      </c>
      <c r="BC110">
        <v>1</v>
      </c>
    </row>
    <row r="111" spans="1:55" ht="15" customHeight="1" x14ac:dyDescent="0.35">
      <c r="A111" t="s">
        <v>995</v>
      </c>
      <c r="B111" t="s">
        <v>1584</v>
      </c>
      <c r="C111" t="s">
        <v>154</v>
      </c>
      <c r="D111" t="s">
        <v>146</v>
      </c>
      <c r="E111">
        <v>2019</v>
      </c>
      <c r="F111" t="s">
        <v>155</v>
      </c>
      <c r="G111" t="s">
        <v>335</v>
      </c>
      <c r="H111" t="s">
        <v>335</v>
      </c>
      <c r="I111" t="s">
        <v>335</v>
      </c>
      <c r="J111" t="s">
        <v>339</v>
      </c>
      <c r="K111" t="s">
        <v>335</v>
      </c>
      <c r="L111" t="s">
        <v>335</v>
      </c>
      <c r="M111" t="s">
        <v>352</v>
      </c>
      <c r="N111" t="s">
        <v>335</v>
      </c>
      <c r="P111" t="s">
        <v>461</v>
      </c>
      <c r="Q111" t="s">
        <v>508</v>
      </c>
      <c r="R111" t="s">
        <v>509</v>
      </c>
      <c r="S111" t="s">
        <v>507</v>
      </c>
      <c r="T111" t="s">
        <v>1249</v>
      </c>
      <c r="U111" t="s">
        <v>471</v>
      </c>
      <c r="V111">
        <v>56.727800000000002</v>
      </c>
      <c r="W111">
        <v>-111.38039999999999</v>
      </c>
      <c r="X111">
        <v>355</v>
      </c>
      <c r="Y111" t="s">
        <v>635</v>
      </c>
      <c r="Z111" t="s">
        <v>642</v>
      </c>
      <c r="AA111" t="s">
        <v>1236</v>
      </c>
      <c r="AB111" t="s">
        <v>512</v>
      </c>
      <c r="AC111" t="s">
        <v>366</v>
      </c>
      <c r="AD111" t="s">
        <v>1173</v>
      </c>
      <c r="AE111" t="s">
        <v>364</v>
      </c>
      <c r="AF111" t="s">
        <v>346</v>
      </c>
      <c r="AG111" t="s">
        <v>346</v>
      </c>
      <c r="AH111" t="s">
        <v>346</v>
      </c>
      <c r="AI111" t="s">
        <v>346</v>
      </c>
      <c r="AJ111" t="s">
        <v>339</v>
      </c>
      <c r="AK111">
        <v>201</v>
      </c>
      <c r="AL111" t="s">
        <v>377</v>
      </c>
      <c r="AM111" t="s">
        <v>347</v>
      </c>
      <c r="AN111" t="s">
        <v>410</v>
      </c>
      <c r="AO111" t="s">
        <v>367</v>
      </c>
      <c r="AP111" t="s">
        <v>411</v>
      </c>
      <c r="AQ111" t="s">
        <v>368</v>
      </c>
      <c r="AR111" t="s">
        <v>369</v>
      </c>
      <c r="AS111">
        <v>20</v>
      </c>
      <c r="AT111" t="s">
        <v>349</v>
      </c>
      <c r="AU111" t="s">
        <v>367</v>
      </c>
      <c r="AV111" t="s">
        <v>367</v>
      </c>
      <c r="AW111" t="s">
        <v>367</v>
      </c>
      <c r="AX111" t="s">
        <v>367</v>
      </c>
      <c r="AY111" t="s">
        <v>367</v>
      </c>
      <c r="AZ111" t="s">
        <v>367</v>
      </c>
      <c r="BA111" t="s">
        <v>367</v>
      </c>
      <c r="BB111" t="s">
        <v>367</v>
      </c>
      <c r="BC111">
        <v>5.5</v>
      </c>
    </row>
    <row r="112" spans="1:55" ht="15" customHeight="1" x14ac:dyDescent="0.35">
      <c r="A112" t="s">
        <v>995</v>
      </c>
      <c r="B112" t="s">
        <v>1584</v>
      </c>
      <c r="C112" t="s">
        <v>154</v>
      </c>
      <c r="D112" t="s">
        <v>146</v>
      </c>
      <c r="E112">
        <v>2019</v>
      </c>
      <c r="F112" t="s">
        <v>155</v>
      </c>
      <c r="G112" t="s">
        <v>335</v>
      </c>
      <c r="H112" t="s">
        <v>335</v>
      </c>
      <c r="I112" t="s">
        <v>335</v>
      </c>
      <c r="J112" t="s">
        <v>339</v>
      </c>
      <c r="K112" t="s">
        <v>335</v>
      </c>
      <c r="L112" t="s">
        <v>335</v>
      </c>
      <c r="M112" t="s">
        <v>352</v>
      </c>
      <c r="N112" t="s">
        <v>335</v>
      </c>
      <c r="P112" t="s">
        <v>461</v>
      </c>
      <c r="Q112" t="s">
        <v>508</v>
      </c>
      <c r="R112" t="s">
        <v>509</v>
      </c>
      <c r="S112" t="s">
        <v>507</v>
      </c>
      <c r="T112" t="s">
        <v>1249</v>
      </c>
      <c r="U112" t="s">
        <v>471</v>
      </c>
      <c r="V112">
        <v>56.727800000000002</v>
      </c>
      <c r="W112">
        <v>-111.38039999999999</v>
      </c>
      <c r="X112">
        <v>355</v>
      </c>
      <c r="Y112" t="s">
        <v>635</v>
      </c>
      <c r="Z112" t="s">
        <v>642</v>
      </c>
      <c r="AA112" t="s">
        <v>1236</v>
      </c>
      <c r="AB112" t="s">
        <v>514</v>
      </c>
      <c r="AC112" t="s">
        <v>366</v>
      </c>
      <c r="AD112" t="s">
        <v>1041</v>
      </c>
      <c r="AE112" t="s">
        <v>364</v>
      </c>
      <c r="AF112" t="s">
        <v>346</v>
      </c>
      <c r="AG112" t="s">
        <v>346</v>
      </c>
      <c r="AH112" t="s">
        <v>346</v>
      </c>
      <c r="AI112" t="s">
        <v>346</v>
      </c>
      <c r="AJ112" t="s">
        <v>339</v>
      </c>
      <c r="AK112">
        <v>201</v>
      </c>
      <c r="AL112" t="s">
        <v>377</v>
      </c>
      <c r="AM112" t="s">
        <v>347</v>
      </c>
      <c r="AN112" t="s">
        <v>410</v>
      </c>
      <c r="AO112" t="s">
        <v>367</v>
      </c>
      <c r="AP112" t="s">
        <v>411</v>
      </c>
      <c r="AQ112" t="s">
        <v>368</v>
      </c>
      <c r="AR112" t="s">
        <v>369</v>
      </c>
      <c r="AS112">
        <v>20</v>
      </c>
      <c r="AT112" t="s">
        <v>349</v>
      </c>
      <c r="AU112" t="s">
        <v>367</v>
      </c>
      <c r="AV112" t="s">
        <v>367</v>
      </c>
      <c r="AW112" t="s">
        <v>367</v>
      </c>
      <c r="AX112" t="s">
        <v>367</v>
      </c>
      <c r="AY112" t="s">
        <v>367</v>
      </c>
      <c r="AZ112" t="s">
        <v>367</v>
      </c>
      <c r="BA112" t="s">
        <v>367</v>
      </c>
      <c r="BB112" t="s">
        <v>367</v>
      </c>
      <c r="BC112">
        <v>5.5</v>
      </c>
    </row>
    <row r="113" spans="1:55" ht="15" customHeight="1" x14ac:dyDescent="0.35">
      <c r="A113" t="s">
        <v>995</v>
      </c>
      <c r="B113" t="s">
        <v>1585</v>
      </c>
      <c r="C113" t="s">
        <v>156</v>
      </c>
      <c r="D113" t="s">
        <v>157</v>
      </c>
      <c r="E113">
        <v>2019</v>
      </c>
      <c r="F113" t="s">
        <v>158</v>
      </c>
      <c r="G113" t="s">
        <v>335</v>
      </c>
      <c r="H113" t="s">
        <v>335</v>
      </c>
      <c r="I113" t="s">
        <v>335</v>
      </c>
      <c r="J113" t="s">
        <v>339</v>
      </c>
      <c r="K113" t="s">
        <v>335</v>
      </c>
      <c r="L113" t="s">
        <v>335</v>
      </c>
      <c r="M113" t="s">
        <v>352</v>
      </c>
      <c r="N113" t="s">
        <v>352</v>
      </c>
      <c r="P113" t="s">
        <v>379</v>
      </c>
      <c r="Q113" t="s">
        <v>380</v>
      </c>
      <c r="R113" t="s">
        <v>638</v>
      </c>
      <c r="S113" t="s">
        <v>636</v>
      </c>
      <c r="T113" t="s">
        <v>1235</v>
      </c>
      <c r="U113" t="s">
        <v>639</v>
      </c>
      <c r="V113">
        <v>52.25</v>
      </c>
      <c r="W113">
        <v>22.17</v>
      </c>
      <c r="X113">
        <v>138</v>
      </c>
      <c r="Y113" t="s">
        <v>637</v>
      </c>
      <c r="Z113" t="s">
        <v>1300</v>
      </c>
      <c r="AA113" t="s">
        <v>1236</v>
      </c>
      <c r="AB113" t="s">
        <v>363</v>
      </c>
      <c r="AC113" t="s">
        <v>366</v>
      </c>
      <c r="AD113" t="s">
        <v>1301</v>
      </c>
      <c r="AE113" t="s">
        <v>364</v>
      </c>
      <c r="AF113">
        <v>-1.7999999999999999E-2</v>
      </c>
      <c r="AG113">
        <v>6.0000000000000001E-3</v>
      </c>
      <c r="AH113" t="s">
        <v>346</v>
      </c>
      <c r="AI113" t="s">
        <v>346</v>
      </c>
      <c r="AJ113" t="s">
        <v>592</v>
      </c>
      <c r="AK113">
        <v>183</v>
      </c>
      <c r="AL113" t="s">
        <v>529</v>
      </c>
      <c r="AM113" t="s">
        <v>347</v>
      </c>
      <c r="AN113" t="s">
        <v>348</v>
      </c>
      <c r="AO113" t="s">
        <v>367</v>
      </c>
      <c r="AP113" t="s">
        <v>386</v>
      </c>
      <c r="AQ113" t="s">
        <v>368</v>
      </c>
      <c r="AR113" t="s">
        <v>369</v>
      </c>
      <c r="AS113">
        <v>28</v>
      </c>
      <c r="AT113" t="s">
        <v>349</v>
      </c>
      <c r="AU113" t="s">
        <v>367</v>
      </c>
      <c r="AV113" t="s">
        <v>367</v>
      </c>
      <c r="AW113" t="s">
        <v>367</v>
      </c>
      <c r="AX113" t="s">
        <v>367</v>
      </c>
      <c r="AY113" t="s">
        <v>367</v>
      </c>
      <c r="AZ113" t="s">
        <v>367</v>
      </c>
      <c r="BA113" t="s">
        <v>367</v>
      </c>
      <c r="BB113" t="s">
        <v>367</v>
      </c>
      <c r="BC113">
        <v>5</v>
      </c>
    </row>
    <row r="114" spans="1:55" ht="15" customHeight="1" x14ac:dyDescent="0.35">
      <c r="A114" t="s">
        <v>995</v>
      </c>
      <c r="B114" t="s">
        <v>1586</v>
      </c>
      <c r="C114" t="s">
        <v>159</v>
      </c>
      <c r="D114" t="s">
        <v>30</v>
      </c>
      <c r="E114">
        <v>2011</v>
      </c>
      <c r="F114" t="s">
        <v>160</v>
      </c>
      <c r="G114" t="s">
        <v>335</v>
      </c>
      <c r="H114" t="s">
        <v>335</v>
      </c>
      <c r="I114" t="s">
        <v>335</v>
      </c>
      <c r="J114" t="s">
        <v>339</v>
      </c>
      <c r="K114" t="s">
        <v>335</v>
      </c>
      <c r="L114" t="s">
        <v>335</v>
      </c>
      <c r="M114" t="s">
        <v>352</v>
      </c>
      <c r="N114" t="s">
        <v>352</v>
      </c>
      <c r="P114" t="s">
        <v>581</v>
      </c>
      <c r="Q114" t="s">
        <v>648</v>
      </c>
      <c r="R114" t="s">
        <v>649</v>
      </c>
      <c r="S114" t="s">
        <v>641</v>
      </c>
      <c r="T114" t="s">
        <v>1249</v>
      </c>
      <c r="U114" t="s">
        <v>471</v>
      </c>
      <c r="V114">
        <v>27</v>
      </c>
      <c r="W114">
        <v>79.5</v>
      </c>
      <c r="X114">
        <v>152</v>
      </c>
      <c r="Y114" t="s">
        <v>644</v>
      </c>
      <c r="Z114" t="s">
        <v>1302</v>
      </c>
      <c r="AA114" t="s">
        <v>1236</v>
      </c>
      <c r="AB114" t="s">
        <v>457</v>
      </c>
      <c r="AC114" t="s">
        <v>1241</v>
      </c>
      <c r="AD114" t="s">
        <v>816</v>
      </c>
      <c r="AE114" t="s">
        <v>345</v>
      </c>
      <c r="AF114">
        <v>5.33</v>
      </c>
      <c r="AG114">
        <v>0.93</v>
      </c>
      <c r="AH114" t="s">
        <v>346</v>
      </c>
      <c r="AI114" t="s">
        <v>346</v>
      </c>
      <c r="AJ114" t="s">
        <v>592</v>
      </c>
      <c r="AK114">
        <v>29</v>
      </c>
      <c r="AL114" t="s">
        <v>645</v>
      </c>
      <c r="AM114" t="s">
        <v>347</v>
      </c>
      <c r="AN114" t="s">
        <v>348</v>
      </c>
      <c r="AO114" t="s">
        <v>367</v>
      </c>
      <c r="AP114" t="s">
        <v>350</v>
      </c>
      <c r="AQ114" t="s">
        <v>368</v>
      </c>
      <c r="AR114" t="s">
        <v>369</v>
      </c>
      <c r="AS114">
        <v>4000</v>
      </c>
      <c r="AT114" t="s">
        <v>349</v>
      </c>
      <c r="AU114" t="s">
        <v>367</v>
      </c>
      <c r="AV114" t="s">
        <v>367</v>
      </c>
      <c r="AW114" t="s">
        <v>367</v>
      </c>
      <c r="AX114" t="s">
        <v>349</v>
      </c>
      <c r="AY114" t="s">
        <v>349</v>
      </c>
      <c r="AZ114" t="s">
        <v>349</v>
      </c>
      <c r="BA114" t="s">
        <v>349</v>
      </c>
      <c r="BB114" t="s">
        <v>367</v>
      </c>
      <c r="BC114">
        <v>3</v>
      </c>
    </row>
    <row r="115" spans="1:55" ht="15" customHeight="1" x14ac:dyDescent="0.35">
      <c r="A115" t="s">
        <v>995</v>
      </c>
      <c r="B115" t="s">
        <v>1586</v>
      </c>
      <c r="C115" t="s">
        <v>159</v>
      </c>
      <c r="D115" t="s">
        <v>30</v>
      </c>
      <c r="E115">
        <v>2011</v>
      </c>
      <c r="F115" t="s">
        <v>160</v>
      </c>
      <c r="G115" t="s">
        <v>335</v>
      </c>
      <c r="H115" t="s">
        <v>335</v>
      </c>
      <c r="I115" t="s">
        <v>335</v>
      </c>
      <c r="J115" t="s">
        <v>339</v>
      </c>
      <c r="K115" t="s">
        <v>335</v>
      </c>
      <c r="L115" t="s">
        <v>335</v>
      </c>
      <c r="M115" t="s">
        <v>352</v>
      </c>
      <c r="N115" t="s">
        <v>352</v>
      </c>
      <c r="P115" t="s">
        <v>343</v>
      </c>
      <c r="Q115" t="s">
        <v>646</v>
      </c>
      <c r="R115" t="s">
        <v>647</v>
      </c>
      <c r="S115" t="s">
        <v>640</v>
      </c>
      <c r="T115" t="s">
        <v>1249</v>
      </c>
      <c r="U115" t="s">
        <v>471</v>
      </c>
      <c r="V115">
        <v>27</v>
      </c>
      <c r="W115">
        <v>79.5</v>
      </c>
      <c r="X115">
        <v>152</v>
      </c>
      <c r="Y115" t="s">
        <v>644</v>
      </c>
      <c r="Z115" t="s">
        <v>1302</v>
      </c>
      <c r="AA115" t="s">
        <v>1236</v>
      </c>
      <c r="AB115" t="s">
        <v>457</v>
      </c>
      <c r="AC115" t="s">
        <v>1241</v>
      </c>
      <c r="AD115" t="s">
        <v>816</v>
      </c>
      <c r="AE115" t="s">
        <v>345</v>
      </c>
      <c r="AF115">
        <v>0.86</v>
      </c>
      <c r="AG115">
        <v>0.19</v>
      </c>
      <c r="AH115" t="s">
        <v>346</v>
      </c>
      <c r="AI115" t="s">
        <v>346</v>
      </c>
      <c r="AJ115" t="s">
        <v>592</v>
      </c>
      <c r="AK115">
        <v>253</v>
      </c>
      <c r="AL115" t="s">
        <v>645</v>
      </c>
      <c r="AM115" t="s">
        <v>347</v>
      </c>
      <c r="AN115" t="s">
        <v>348</v>
      </c>
      <c r="AO115" t="s">
        <v>349</v>
      </c>
      <c r="AP115" t="s">
        <v>350</v>
      </c>
      <c r="AQ115" t="s">
        <v>351</v>
      </c>
      <c r="AR115" t="s">
        <v>369</v>
      </c>
      <c r="AS115">
        <v>8820</v>
      </c>
      <c r="AT115" t="s">
        <v>349</v>
      </c>
      <c r="AU115" t="s">
        <v>349</v>
      </c>
      <c r="AV115" t="s">
        <v>367</v>
      </c>
      <c r="AW115" t="s">
        <v>367</v>
      </c>
      <c r="AX115" t="s">
        <v>349</v>
      </c>
      <c r="AY115" t="s">
        <v>367</v>
      </c>
      <c r="AZ115" t="s">
        <v>349</v>
      </c>
      <c r="BA115" t="s">
        <v>349</v>
      </c>
      <c r="BB115" t="s">
        <v>367</v>
      </c>
      <c r="BC115">
        <v>2</v>
      </c>
    </row>
    <row r="116" spans="1:55" ht="15" customHeight="1" x14ac:dyDescent="0.35">
      <c r="A116" t="s">
        <v>995</v>
      </c>
      <c r="B116" t="s">
        <v>1587</v>
      </c>
      <c r="C116" t="s">
        <v>1382</v>
      </c>
      <c r="D116" t="s">
        <v>116</v>
      </c>
      <c r="E116">
        <v>2022</v>
      </c>
      <c r="F116" t="s">
        <v>1383</v>
      </c>
      <c r="G116" t="s">
        <v>335</v>
      </c>
      <c r="H116" t="s">
        <v>352</v>
      </c>
      <c r="I116" t="s">
        <v>335</v>
      </c>
      <c r="J116" t="s">
        <v>339</v>
      </c>
      <c r="K116" t="s">
        <v>335</v>
      </c>
      <c r="L116" t="s">
        <v>352</v>
      </c>
      <c r="M116" t="s">
        <v>352</v>
      </c>
      <c r="N116" t="s">
        <v>352</v>
      </c>
      <c r="P116" t="s">
        <v>437</v>
      </c>
      <c r="Q116" t="s">
        <v>1439</v>
      </c>
      <c r="R116" t="s">
        <v>1440</v>
      </c>
      <c r="S116" t="s">
        <v>1437</v>
      </c>
      <c r="T116" t="s">
        <v>348</v>
      </c>
      <c r="U116" t="s">
        <v>1404</v>
      </c>
      <c r="V116">
        <v>59.766666999999998</v>
      </c>
      <c r="W116">
        <v>38.366667</v>
      </c>
      <c r="X116">
        <v>120</v>
      </c>
      <c r="Y116" t="s">
        <v>1445</v>
      </c>
      <c r="Z116" t="s">
        <v>1444</v>
      </c>
      <c r="AA116" t="s">
        <v>1247</v>
      </c>
      <c r="AB116" t="s">
        <v>400</v>
      </c>
      <c r="AC116" t="s">
        <v>1237</v>
      </c>
      <c r="AD116" t="s">
        <v>1443</v>
      </c>
      <c r="AE116" t="s">
        <v>345</v>
      </c>
      <c r="AF116">
        <v>1.4E-2</v>
      </c>
      <c r="AG116">
        <v>3.0000000000000001E-3</v>
      </c>
      <c r="AH116">
        <v>0.01</v>
      </c>
      <c r="AI116">
        <v>0.02</v>
      </c>
      <c r="AJ116" t="s">
        <v>592</v>
      </c>
      <c r="AK116">
        <v>500</v>
      </c>
      <c r="AL116" t="s">
        <v>377</v>
      </c>
      <c r="AM116" t="s">
        <v>347</v>
      </c>
      <c r="AN116" t="s">
        <v>348</v>
      </c>
      <c r="AO116" t="s">
        <v>349</v>
      </c>
      <c r="AP116" t="s">
        <v>386</v>
      </c>
      <c r="AQ116" t="s">
        <v>368</v>
      </c>
      <c r="AR116" t="s">
        <v>369</v>
      </c>
      <c r="AS116">
        <v>9</v>
      </c>
      <c r="AT116" t="s">
        <v>349</v>
      </c>
      <c r="AU116" t="s">
        <v>367</v>
      </c>
      <c r="AV116" t="s">
        <v>367</v>
      </c>
      <c r="AW116" t="s">
        <v>367</v>
      </c>
      <c r="AX116" t="s">
        <v>367</v>
      </c>
      <c r="AY116" t="s">
        <v>367</v>
      </c>
      <c r="AZ116" t="s">
        <v>367</v>
      </c>
      <c r="BA116" t="s">
        <v>367</v>
      </c>
      <c r="BB116" t="s">
        <v>367</v>
      </c>
      <c r="BC116">
        <v>5</v>
      </c>
    </row>
    <row r="117" spans="1:55" ht="15" customHeight="1" x14ac:dyDescent="0.35">
      <c r="A117" t="s">
        <v>995</v>
      </c>
      <c r="B117" t="s">
        <v>1587</v>
      </c>
      <c r="C117" t="s">
        <v>1382</v>
      </c>
      <c r="D117" t="s">
        <v>116</v>
      </c>
      <c r="E117">
        <v>2022</v>
      </c>
      <c r="F117" t="s">
        <v>1383</v>
      </c>
      <c r="G117" t="s">
        <v>335</v>
      </c>
      <c r="H117" t="s">
        <v>352</v>
      </c>
      <c r="I117" t="s">
        <v>335</v>
      </c>
      <c r="J117" t="s">
        <v>339</v>
      </c>
      <c r="K117" t="s">
        <v>335</v>
      </c>
      <c r="L117" t="s">
        <v>352</v>
      </c>
      <c r="M117" t="s">
        <v>352</v>
      </c>
      <c r="N117" t="s">
        <v>352</v>
      </c>
      <c r="P117" t="s">
        <v>836</v>
      </c>
      <c r="Q117" t="s">
        <v>1441</v>
      </c>
      <c r="R117" t="s">
        <v>1442</v>
      </c>
      <c r="S117" t="s">
        <v>1438</v>
      </c>
      <c r="T117" t="s">
        <v>348</v>
      </c>
      <c r="U117" t="s">
        <v>1404</v>
      </c>
      <c r="V117">
        <v>59.766666999999998</v>
      </c>
      <c r="W117">
        <v>38.366667</v>
      </c>
      <c r="X117">
        <v>120</v>
      </c>
      <c r="Y117" t="s">
        <v>1445</v>
      </c>
      <c r="Z117" t="s">
        <v>1444</v>
      </c>
      <c r="AA117" t="s">
        <v>1247</v>
      </c>
      <c r="AB117" t="s">
        <v>400</v>
      </c>
      <c r="AC117" t="s">
        <v>1237</v>
      </c>
      <c r="AD117" t="s">
        <v>1443</v>
      </c>
      <c r="AE117" t="s">
        <v>345</v>
      </c>
      <c r="AF117">
        <v>5.0000000000000001E-3</v>
      </c>
      <c r="AG117">
        <v>3.0000000000000001E-3</v>
      </c>
      <c r="AH117">
        <v>1E-3</v>
      </c>
      <c r="AI117">
        <v>2E-3</v>
      </c>
      <c r="AJ117" t="s">
        <v>592</v>
      </c>
      <c r="AK117">
        <v>539</v>
      </c>
      <c r="AL117" t="s">
        <v>377</v>
      </c>
      <c r="AM117" t="s">
        <v>347</v>
      </c>
      <c r="AN117" t="s">
        <v>410</v>
      </c>
      <c r="AO117" t="s">
        <v>349</v>
      </c>
      <c r="AP117" t="s">
        <v>386</v>
      </c>
      <c r="AQ117" t="s">
        <v>368</v>
      </c>
      <c r="AR117" t="s">
        <v>369</v>
      </c>
      <c r="AS117">
        <v>19.5</v>
      </c>
      <c r="AT117" t="s">
        <v>349</v>
      </c>
      <c r="AU117" t="s">
        <v>349</v>
      </c>
      <c r="AV117" t="s">
        <v>367</v>
      </c>
      <c r="AW117" t="s">
        <v>367</v>
      </c>
      <c r="AX117" t="s">
        <v>367</v>
      </c>
      <c r="AY117" t="s">
        <v>367</v>
      </c>
      <c r="AZ117" t="s">
        <v>367</v>
      </c>
      <c r="BA117" t="s">
        <v>367</v>
      </c>
      <c r="BB117" t="s">
        <v>367</v>
      </c>
      <c r="BC117">
        <v>5.5</v>
      </c>
    </row>
    <row r="118" spans="1:55" ht="15" customHeight="1" x14ac:dyDescent="0.35">
      <c r="A118" t="s">
        <v>1065</v>
      </c>
      <c r="B118" t="s">
        <v>1588</v>
      </c>
      <c r="C118" t="s">
        <v>1087</v>
      </c>
      <c r="D118" t="s">
        <v>1088</v>
      </c>
      <c r="E118">
        <v>2016</v>
      </c>
      <c r="F118" t="s">
        <v>1089</v>
      </c>
      <c r="G118" t="s">
        <v>335</v>
      </c>
      <c r="H118" t="s">
        <v>335</v>
      </c>
      <c r="I118" t="s">
        <v>335</v>
      </c>
      <c r="J118" t="s">
        <v>339</v>
      </c>
      <c r="K118" t="s">
        <v>335</v>
      </c>
      <c r="L118" t="s">
        <v>335</v>
      </c>
      <c r="M118" t="s">
        <v>352</v>
      </c>
      <c r="N118" t="s">
        <v>352</v>
      </c>
      <c r="P118" t="s">
        <v>353</v>
      </c>
      <c r="Q118" t="s">
        <v>1133</v>
      </c>
      <c r="R118" t="s">
        <v>1134</v>
      </c>
      <c r="S118" t="s">
        <v>1132</v>
      </c>
      <c r="T118" t="s">
        <v>1266</v>
      </c>
      <c r="U118" t="s">
        <v>378</v>
      </c>
      <c r="V118">
        <v>40.1126</v>
      </c>
      <c r="W118">
        <v>-74.402299999999997</v>
      </c>
      <c r="X118">
        <v>228</v>
      </c>
      <c r="Y118" t="s">
        <v>1131</v>
      </c>
      <c r="Z118" t="s">
        <v>609</v>
      </c>
      <c r="AA118" t="s">
        <v>1247</v>
      </c>
      <c r="AB118" t="s">
        <v>400</v>
      </c>
      <c r="AC118" t="s">
        <v>366</v>
      </c>
      <c r="AD118" t="s">
        <v>433</v>
      </c>
      <c r="AE118" t="s">
        <v>345</v>
      </c>
      <c r="AF118">
        <v>1.75</v>
      </c>
      <c r="AG118">
        <v>0.27</v>
      </c>
      <c r="AH118" t="s">
        <v>346</v>
      </c>
      <c r="AI118" t="s">
        <v>346</v>
      </c>
      <c r="AJ118" t="s">
        <v>592</v>
      </c>
      <c r="AK118">
        <v>1967</v>
      </c>
      <c r="AL118" t="s">
        <v>377</v>
      </c>
      <c r="AM118" t="s">
        <v>366</v>
      </c>
      <c r="AN118" t="s">
        <v>348</v>
      </c>
      <c r="AO118" t="s">
        <v>349</v>
      </c>
      <c r="AP118" t="s">
        <v>355</v>
      </c>
      <c r="AQ118" t="s">
        <v>351</v>
      </c>
      <c r="AR118" t="s">
        <v>356</v>
      </c>
      <c r="AS118">
        <v>5700</v>
      </c>
      <c r="AT118" t="s">
        <v>367</v>
      </c>
      <c r="AU118" t="s">
        <v>349</v>
      </c>
      <c r="AV118" t="s">
        <v>367</v>
      </c>
      <c r="AW118" t="s">
        <v>367</v>
      </c>
      <c r="AX118" t="s">
        <v>367</v>
      </c>
      <c r="AY118" t="s">
        <v>367</v>
      </c>
      <c r="AZ118" t="s">
        <v>367</v>
      </c>
      <c r="BA118" t="s">
        <v>367</v>
      </c>
      <c r="BB118" t="s">
        <v>367</v>
      </c>
      <c r="BC118">
        <v>4.5</v>
      </c>
    </row>
    <row r="119" spans="1:55" ht="15" customHeight="1" x14ac:dyDescent="0.35">
      <c r="A119" t="s">
        <v>995</v>
      </c>
      <c r="B119" t="s">
        <v>1589</v>
      </c>
      <c r="C119" t="s">
        <v>161</v>
      </c>
      <c r="D119" t="s">
        <v>18</v>
      </c>
      <c r="E119">
        <v>2020</v>
      </c>
      <c r="F119" t="s">
        <v>162</v>
      </c>
      <c r="G119" t="s">
        <v>335</v>
      </c>
      <c r="H119" t="s">
        <v>335</v>
      </c>
      <c r="I119" t="s">
        <v>335</v>
      </c>
      <c r="J119" t="s">
        <v>339</v>
      </c>
      <c r="K119" t="s">
        <v>335</v>
      </c>
      <c r="L119" t="s">
        <v>335</v>
      </c>
      <c r="M119" t="s">
        <v>352</v>
      </c>
      <c r="N119" t="s">
        <v>335</v>
      </c>
      <c r="P119" t="s">
        <v>654</v>
      </c>
      <c r="Q119" t="s">
        <v>655</v>
      </c>
      <c r="R119" t="s">
        <v>656</v>
      </c>
      <c r="S119" t="s">
        <v>653</v>
      </c>
      <c r="T119" t="s">
        <v>348</v>
      </c>
      <c r="U119" t="s">
        <v>652</v>
      </c>
      <c r="V119">
        <v>38.014000000000003</v>
      </c>
      <c r="W119">
        <v>-107.4044</v>
      </c>
      <c r="X119">
        <v>2380</v>
      </c>
      <c r="Y119" t="s">
        <v>651</v>
      </c>
      <c r="Z119" t="s">
        <v>1303</v>
      </c>
      <c r="AA119" t="s">
        <v>1236</v>
      </c>
      <c r="AB119" t="s">
        <v>384</v>
      </c>
      <c r="AC119" t="s">
        <v>1237</v>
      </c>
      <c r="AD119" t="s">
        <v>1261</v>
      </c>
      <c r="AE119" t="s">
        <v>354</v>
      </c>
      <c r="AF119">
        <v>-0.14000000000000001</v>
      </c>
      <c r="AG119" t="s">
        <v>346</v>
      </c>
      <c r="AH119" t="s">
        <v>346</v>
      </c>
      <c r="AI119" t="s">
        <v>346</v>
      </c>
      <c r="AJ119" t="s">
        <v>650</v>
      </c>
      <c r="AK119">
        <v>272</v>
      </c>
      <c r="AL119" t="s">
        <v>377</v>
      </c>
      <c r="AM119" t="s">
        <v>346</v>
      </c>
      <c r="AN119" t="s">
        <v>410</v>
      </c>
      <c r="AO119" t="s">
        <v>367</v>
      </c>
      <c r="AP119" t="s">
        <v>411</v>
      </c>
      <c r="AQ119" t="s">
        <v>368</v>
      </c>
      <c r="AR119" t="s">
        <v>369</v>
      </c>
      <c r="AS119">
        <v>45</v>
      </c>
      <c r="AT119" t="s">
        <v>349</v>
      </c>
      <c r="AU119" t="s">
        <v>367</v>
      </c>
      <c r="AV119" t="s">
        <v>367</v>
      </c>
      <c r="AW119" t="s">
        <v>367</v>
      </c>
      <c r="AX119" t="s">
        <v>367</v>
      </c>
      <c r="AY119" t="s">
        <v>367</v>
      </c>
      <c r="AZ119" t="s">
        <v>367</v>
      </c>
      <c r="BA119" t="s">
        <v>367</v>
      </c>
      <c r="BB119" t="s">
        <v>367</v>
      </c>
      <c r="BC119">
        <v>1</v>
      </c>
    </row>
    <row r="120" spans="1:55" ht="15" customHeight="1" x14ac:dyDescent="0.35">
      <c r="A120" t="s">
        <v>995</v>
      </c>
      <c r="B120" t="s">
        <v>1590</v>
      </c>
      <c r="C120" t="s">
        <v>1695</v>
      </c>
      <c r="D120" t="s">
        <v>163</v>
      </c>
      <c r="E120">
        <v>1994</v>
      </c>
      <c r="F120" t="s">
        <v>164</v>
      </c>
      <c r="G120" t="s">
        <v>335</v>
      </c>
      <c r="H120" t="s">
        <v>335</v>
      </c>
      <c r="I120" t="s">
        <v>335</v>
      </c>
      <c r="J120" t="s">
        <v>339</v>
      </c>
      <c r="K120" t="s">
        <v>335</v>
      </c>
      <c r="L120" t="s">
        <v>335</v>
      </c>
      <c r="M120" t="s">
        <v>352</v>
      </c>
      <c r="N120" t="s">
        <v>335</v>
      </c>
      <c r="P120" t="s">
        <v>475</v>
      </c>
      <c r="Q120" t="s">
        <v>473</v>
      </c>
      <c r="R120" t="s">
        <v>474</v>
      </c>
      <c r="S120" t="s">
        <v>470</v>
      </c>
      <c r="T120" t="s">
        <v>1249</v>
      </c>
      <c r="U120" t="s">
        <v>471</v>
      </c>
      <c r="V120">
        <v>43.592807000000001</v>
      </c>
      <c r="W120">
        <v>4.2810779999999999</v>
      </c>
      <c r="X120">
        <v>1</v>
      </c>
      <c r="Y120" t="s">
        <v>659</v>
      </c>
      <c r="Z120" t="s">
        <v>658</v>
      </c>
      <c r="AA120" t="s">
        <v>393</v>
      </c>
      <c r="AB120" t="s">
        <v>657</v>
      </c>
      <c r="AC120" t="s">
        <v>1241</v>
      </c>
      <c r="AD120" t="s">
        <v>1304</v>
      </c>
      <c r="AE120" t="s">
        <v>345</v>
      </c>
      <c r="AF120" t="s">
        <v>346</v>
      </c>
      <c r="AG120" t="s">
        <v>346</v>
      </c>
      <c r="AH120" t="s">
        <v>346</v>
      </c>
      <c r="AI120" t="s">
        <v>346</v>
      </c>
      <c r="AJ120" t="s">
        <v>339</v>
      </c>
      <c r="AK120">
        <v>18</v>
      </c>
      <c r="AL120" t="s">
        <v>377</v>
      </c>
      <c r="AM120" t="s">
        <v>347</v>
      </c>
      <c r="AN120" t="s">
        <v>348</v>
      </c>
      <c r="AO120" t="s">
        <v>349</v>
      </c>
      <c r="AP120" t="s">
        <v>350</v>
      </c>
      <c r="AQ120" t="s">
        <v>368</v>
      </c>
      <c r="AR120" t="s">
        <v>369</v>
      </c>
      <c r="AS120">
        <v>495</v>
      </c>
      <c r="AT120" t="s">
        <v>349</v>
      </c>
      <c r="AU120" t="s">
        <v>367</v>
      </c>
      <c r="AV120" t="s">
        <v>367</v>
      </c>
      <c r="AW120" t="s">
        <v>367</v>
      </c>
      <c r="AX120" t="s">
        <v>349</v>
      </c>
      <c r="AY120" t="s">
        <v>349</v>
      </c>
      <c r="AZ120" t="s">
        <v>349</v>
      </c>
      <c r="BA120" t="s">
        <v>367</v>
      </c>
      <c r="BB120" t="s">
        <v>367</v>
      </c>
      <c r="BC120">
        <v>4.5</v>
      </c>
    </row>
    <row r="121" spans="1:55" ht="15" customHeight="1" x14ac:dyDescent="0.35">
      <c r="A121" t="s">
        <v>995</v>
      </c>
      <c r="B121" t="s">
        <v>1591</v>
      </c>
      <c r="C121" t="s">
        <v>165</v>
      </c>
      <c r="D121" t="s">
        <v>166</v>
      </c>
      <c r="E121">
        <v>2011</v>
      </c>
      <c r="F121" t="s">
        <v>167</v>
      </c>
      <c r="G121" t="s">
        <v>335</v>
      </c>
      <c r="H121" t="s">
        <v>335</v>
      </c>
      <c r="I121" t="s">
        <v>335</v>
      </c>
      <c r="J121" t="s">
        <v>339</v>
      </c>
      <c r="K121" t="s">
        <v>335</v>
      </c>
      <c r="L121" t="s">
        <v>335</v>
      </c>
      <c r="M121" t="s">
        <v>352</v>
      </c>
      <c r="N121" t="s">
        <v>335</v>
      </c>
      <c r="P121" t="s">
        <v>461</v>
      </c>
      <c r="Q121" t="s">
        <v>508</v>
      </c>
      <c r="R121" t="s">
        <v>509</v>
      </c>
      <c r="S121" t="s">
        <v>507</v>
      </c>
      <c r="T121" t="s">
        <v>1235</v>
      </c>
      <c r="U121" t="s">
        <v>506</v>
      </c>
      <c r="V121">
        <v>38.1</v>
      </c>
      <c r="W121">
        <v>-78.59</v>
      </c>
      <c r="X121">
        <v>174</v>
      </c>
      <c r="Y121" t="s">
        <v>662</v>
      </c>
      <c r="Z121" t="s">
        <v>661</v>
      </c>
      <c r="AA121" t="s">
        <v>1236</v>
      </c>
      <c r="AB121" t="s">
        <v>384</v>
      </c>
      <c r="AC121" t="s">
        <v>366</v>
      </c>
      <c r="AD121" t="s">
        <v>1305</v>
      </c>
      <c r="AE121" t="s">
        <v>354</v>
      </c>
      <c r="AF121" t="s">
        <v>346</v>
      </c>
      <c r="AG121" t="s">
        <v>346</v>
      </c>
      <c r="AH121" t="s">
        <v>346</v>
      </c>
      <c r="AI121" t="s">
        <v>346</v>
      </c>
      <c r="AJ121" t="s">
        <v>339</v>
      </c>
      <c r="AK121">
        <v>347</v>
      </c>
      <c r="AL121" t="s">
        <v>377</v>
      </c>
      <c r="AM121" t="s">
        <v>339</v>
      </c>
      <c r="AN121" t="s">
        <v>410</v>
      </c>
      <c r="AO121" t="s">
        <v>367</v>
      </c>
      <c r="AP121" t="s">
        <v>411</v>
      </c>
      <c r="AQ121" t="s">
        <v>368</v>
      </c>
      <c r="AR121" t="s">
        <v>369</v>
      </c>
      <c r="AS121">
        <v>20</v>
      </c>
      <c r="AT121" t="s">
        <v>349</v>
      </c>
      <c r="AU121" t="s">
        <v>367</v>
      </c>
      <c r="AV121" t="s">
        <v>367</v>
      </c>
      <c r="AW121" t="s">
        <v>367</v>
      </c>
      <c r="AX121" t="s">
        <v>367</v>
      </c>
      <c r="AY121" t="s">
        <v>367</v>
      </c>
      <c r="AZ121" t="s">
        <v>367</v>
      </c>
      <c r="BA121" t="s">
        <v>367</v>
      </c>
      <c r="BB121" t="s">
        <v>367</v>
      </c>
      <c r="BC121">
        <v>5.5</v>
      </c>
    </row>
    <row r="122" spans="1:55" ht="15" customHeight="1" x14ac:dyDescent="0.35">
      <c r="A122" t="s">
        <v>995</v>
      </c>
      <c r="B122" t="s">
        <v>1592</v>
      </c>
      <c r="C122" t="s">
        <v>1384</v>
      </c>
      <c r="D122" t="s">
        <v>32</v>
      </c>
      <c r="E122">
        <v>2023</v>
      </c>
      <c r="F122" t="s">
        <v>1385</v>
      </c>
      <c r="G122" t="s">
        <v>335</v>
      </c>
      <c r="H122" t="s">
        <v>352</v>
      </c>
      <c r="I122" t="s">
        <v>335</v>
      </c>
      <c r="J122" t="s">
        <v>339</v>
      </c>
      <c r="K122" t="s">
        <v>335</v>
      </c>
      <c r="L122" t="s">
        <v>352</v>
      </c>
      <c r="M122" t="s">
        <v>352</v>
      </c>
      <c r="N122" t="s">
        <v>352</v>
      </c>
      <c r="P122" t="s">
        <v>836</v>
      </c>
      <c r="Q122" t="s">
        <v>1441</v>
      </c>
      <c r="R122" t="s">
        <v>1442</v>
      </c>
      <c r="S122" t="s">
        <v>1438</v>
      </c>
      <c r="T122" t="s">
        <v>348</v>
      </c>
      <c r="U122" t="s">
        <v>1449</v>
      </c>
      <c r="V122">
        <v>54.915866999999999</v>
      </c>
      <c r="W122">
        <v>-2.6431010000000001</v>
      </c>
      <c r="X122">
        <v>330</v>
      </c>
      <c r="Y122" t="s">
        <v>1448</v>
      </c>
      <c r="Z122" t="s">
        <v>1450</v>
      </c>
      <c r="AA122" t="s">
        <v>1236</v>
      </c>
      <c r="AB122" t="s">
        <v>1447</v>
      </c>
      <c r="AC122" t="s">
        <v>366</v>
      </c>
      <c r="AD122" t="s">
        <v>1446</v>
      </c>
      <c r="AE122" t="s">
        <v>354</v>
      </c>
      <c r="AF122">
        <v>0.18</v>
      </c>
      <c r="AG122">
        <v>0.19</v>
      </c>
      <c r="AH122" t="s">
        <v>346</v>
      </c>
      <c r="AI122" t="s">
        <v>346</v>
      </c>
      <c r="AJ122" t="s">
        <v>592</v>
      </c>
      <c r="AK122">
        <v>247</v>
      </c>
      <c r="AL122" t="s">
        <v>377</v>
      </c>
      <c r="AM122" t="s">
        <v>347</v>
      </c>
      <c r="AN122" t="s">
        <v>410</v>
      </c>
      <c r="AO122" t="s">
        <v>349</v>
      </c>
      <c r="AP122" t="s">
        <v>386</v>
      </c>
      <c r="AQ122" t="s">
        <v>368</v>
      </c>
      <c r="AR122" t="s">
        <v>369</v>
      </c>
      <c r="AS122">
        <v>19.5</v>
      </c>
      <c r="AT122" t="s">
        <v>349</v>
      </c>
      <c r="AU122" t="s">
        <v>349</v>
      </c>
      <c r="AV122" t="s">
        <v>367</v>
      </c>
      <c r="AW122" t="s">
        <v>367</v>
      </c>
      <c r="AX122" t="s">
        <v>367</v>
      </c>
      <c r="AY122" t="s">
        <v>367</v>
      </c>
      <c r="AZ122" t="s">
        <v>367</v>
      </c>
      <c r="BA122" t="s">
        <v>367</v>
      </c>
      <c r="BB122" t="s">
        <v>367</v>
      </c>
      <c r="BC122">
        <v>5.5</v>
      </c>
    </row>
    <row r="123" spans="1:55" ht="15" customHeight="1" x14ac:dyDescent="0.35">
      <c r="A123" t="s">
        <v>995</v>
      </c>
      <c r="B123" t="s">
        <v>1593</v>
      </c>
      <c r="C123" t="s">
        <v>168</v>
      </c>
      <c r="D123" t="s">
        <v>108</v>
      </c>
      <c r="E123">
        <v>2016</v>
      </c>
      <c r="F123" t="s">
        <v>1060</v>
      </c>
      <c r="G123" t="s">
        <v>335</v>
      </c>
      <c r="H123" t="s">
        <v>335</v>
      </c>
      <c r="I123" t="s">
        <v>335</v>
      </c>
      <c r="J123" t="s">
        <v>339</v>
      </c>
      <c r="K123" t="s">
        <v>335</v>
      </c>
      <c r="L123" t="s">
        <v>335</v>
      </c>
      <c r="M123" t="s">
        <v>352</v>
      </c>
      <c r="N123" t="s">
        <v>335</v>
      </c>
      <c r="P123" t="s">
        <v>480</v>
      </c>
      <c r="Q123" t="s">
        <v>481</v>
      </c>
      <c r="R123" t="s">
        <v>482</v>
      </c>
      <c r="S123" t="s">
        <v>1514</v>
      </c>
      <c r="T123" t="s">
        <v>348</v>
      </c>
      <c r="U123" t="s">
        <v>344</v>
      </c>
      <c r="V123">
        <v>41.520060000000001</v>
      </c>
      <c r="W123">
        <v>-106.799222</v>
      </c>
      <c r="X123">
        <v>2240</v>
      </c>
      <c r="Y123" t="s">
        <v>450</v>
      </c>
      <c r="Z123" t="s">
        <v>663</v>
      </c>
      <c r="AA123" t="s">
        <v>1247</v>
      </c>
      <c r="AB123" t="s">
        <v>400</v>
      </c>
      <c r="AC123" t="s">
        <v>1241</v>
      </c>
      <c r="AD123" t="s">
        <v>1306</v>
      </c>
      <c r="AE123" t="s">
        <v>364</v>
      </c>
      <c r="AF123" t="s">
        <v>346</v>
      </c>
      <c r="AG123" t="s">
        <v>346</v>
      </c>
      <c r="AH123" t="s">
        <v>346</v>
      </c>
      <c r="AI123" t="s">
        <v>346</v>
      </c>
      <c r="AJ123" t="s">
        <v>339</v>
      </c>
      <c r="AK123">
        <v>108</v>
      </c>
      <c r="AL123" t="s">
        <v>377</v>
      </c>
      <c r="AM123" t="s">
        <v>347</v>
      </c>
      <c r="AN123" t="s">
        <v>348</v>
      </c>
      <c r="AO123" t="s">
        <v>349</v>
      </c>
      <c r="AP123" t="s">
        <v>355</v>
      </c>
      <c r="AQ123" t="s">
        <v>351</v>
      </c>
      <c r="AR123" t="s">
        <v>356</v>
      </c>
      <c r="AS123">
        <v>1950</v>
      </c>
      <c r="AT123" t="s">
        <v>349</v>
      </c>
      <c r="AU123" t="s">
        <v>349</v>
      </c>
      <c r="AV123" t="s">
        <v>367</v>
      </c>
      <c r="AW123" t="s">
        <v>367</v>
      </c>
      <c r="AX123" t="s">
        <v>367</v>
      </c>
      <c r="AY123" t="s">
        <v>367</v>
      </c>
      <c r="AZ123" t="s">
        <v>367</v>
      </c>
      <c r="BA123" t="s">
        <v>367</v>
      </c>
      <c r="BB123" t="s">
        <v>367</v>
      </c>
      <c r="BC123">
        <v>7.5</v>
      </c>
    </row>
    <row r="124" spans="1:55" ht="15" customHeight="1" x14ac:dyDescent="0.35">
      <c r="A124" t="s">
        <v>995</v>
      </c>
      <c r="B124" t="s">
        <v>1594</v>
      </c>
      <c r="C124" t="s">
        <v>169</v>
      </c>
      <c r="D124" t="s">
        <v>170</v>
      </c>
      <c r="E124">
        <v>2012</v>
      </c>
      <c r="F124" t="s">
        <v>171</v>
      </c>
      <c r="G124" t="s">
        <v>335</v>
      </c>
      <c r="H124" t="s">
        <v>335</v>
      </c>
      <c r="I124" t="s">
        <v>335</v>
      </c>
      <c r="J124" t="s">
        <v>339</v>
      </c>
      <c r="K124" t="s">
        <v>335</v>
      </c>
      <c r="L124" t="s">
        <v>335</v>
      </c>
      <c r="M124" t="s">
        <v>335</v>
      </c>
      <c r="N124" t="s">
        <v>335</v>
      </c>
      <c r="P124" t="s">
        <v>668</v>
      </c>
      <c r="Q124" t="s">
        <v>669</v>
      </c>
      <c r="R124" t="s">
        <v>670</v>
      </c>
      <c r="S124" t="s">
        <v>671</v>
      </c>
      <c r="T124" t="s">
        <v>348</v>
      </c>
      <c r="U124" t="s">
        <v>344</v>
      </c>
      <c r="V124">
        <v>-45.235303000000002</v>
      </c>
      <c r="W124">
        <v>167.50022100000001</v>
      </c>
      <c r="X124">
        <v>845</v>
      </c>
      <c r="Y124" t="s">
        <v>667</v>
      </c>
      <c r="Z124" t="s">
        <v>1307</v>
      </c>
      <c r="AA124" t="s">
        <v>1236</v>
      </c>
      <c r="AB124" t="s">
        <v>666</v>
      </c>
      <c r="AC124" t="s">
        <v>1237</v>
      </c>
      <c r="AD124" t="s">
        <v>1261</v>
      </c>
      <c r="AE124" t="s">
        <v>364</v>
      </c>
      <c r="AF124" t="s">
        <v>346</v>
      </c>
      <c r="AG124" t="s">
        <v>346</v>
      </c>
      <c r="AH124" t="s">
        <v>346</v>
      </c>
      <c r="AI124" t="s">
        <v>346</v>
      </c>
      <c r="AJ124" t="s">
        <v>339</v>
      </c>
      <c r="AK124">
        <v>102</v>
      </c>
      <c r="AL124" t="s">
        <v>377</v>
      </c>
      <c r="AM124" t="s">
        <v>347</v>
      </c>
      <c r="AN124" t="s">
        <v>410</v>
      </c>
      <c r="AO124" t="s">
        <v>349</v>
      </c>
      <c r="AP124" t="s">
        <v>424</v>
      </c>
      <c r="AQ124" t="s">
        <v>351</v>
      </c>
      <c r="AR124" t="s">
        <v>369</v>
      </c>
      <c r="AS124">
        <v>2673</v>
      </c>
      <c r="AT124" t="s">
        <v>349</v>
      </c>
      <c r="AU124" t="s">
        <v>349</v>
      </c>
      <c r="AV124" t="s">
        <v>367</v>
      </c>
      <c r="AW124" t="s">
        <v>367</v>
      </c>
      <c r="AX124" t="s">
        <v>367</v>
      </c>
      <c r="AY124" t="s">
        <v>367</v>
      </c>
      <c r="AZ124" t="s">
        <v>349</v>
      </c>
      <c r="BA124" t="s">
        <v>367</v>
      </c>
      <c r="BB124" t="s">
        <v>367</v>
      </c>
      <c r="BC124">
        <v>2</v>
      </c>
    </row>
    <row r="125" spans="1:55" ht="15" customHeight="1" x14ac:dyDescent="0.35">
      <c r="A125" t="s">
        <v>995</v>
      </c>
      <c r="B125" t="s">
        <v>1595</v>
      </c>
      <c r="C125" t="s">
        <v>172</v>
      </c>
      <c r="D125" t="s">
        <v>46</v>
      </c>
      <c r="E125">
        <v>2008</v>
      </c>
      <c r="F125" t="s">
        <v>173</v>
      </c>
      <c r="G125" t="s">
        <v>335</v>
      </c>
      <c r="H125" t="s">
        <v>335</v>
      </c>
      <c r="I125" t="s">
        <v>335</v>
      </c>
      <c r="J125" t="s">
        <v>339</v>
      </c>
      <c r="K125" t="s">
        <v>335</v>
      </c>
      <c r="L125" t="s">
        <v>335</v>
      </c>
      <c r="M125" t="s">
        <v>352</v>
      </c>
      <c r="N125" t="s">
        <v>335</v>
      </c>
      <c r="P125" t="s">
        <v>678</v>
      </c>
      <c r="Q125" t="s">
        <v>660</v>
      </c>
      <c r="R125" t="s">
        <v>677</v>
      </c>
      <c r="S125" t="s">
        <v>675</v>
      </c>
      <c r="T125" t="s">
        <v>1235</v>
      </c>
      <c r="U125" t="s">
        <v>665</v>
      </c>
      <c r="V125">
        <v>-12.45</v>
      </c>
      <c r="W125">
        <v>143.16999999999999</v>
      </c>
      <c r="X125">
        <v>80</v>
      </c>
      <c r="Y125" t="s">
        <v>676</v>
      </c>
      <c r="Z125" t="s">
        <v>674</v>
      </c>
      <c r="AA125" t="s">
        <v>1236</v>
      </c>
      <c r="AB125" t="s">
        <v>384</v>
      </c>
      <c r="AC125" t="s">
        <v>1237</v>
      </c>
      <c r="AD125" t="s">
        <v>673</v>
      </c>
      <c r="AE125" t="s">
        <v>364</v>
      </c>
      <c r="AF125" t="s">
        <v>346</v>
      </c>
      <c r="AG125" t="s">
        <v>346</v>
      </c>
      <c r="AH125" t="s">
        <v>346</v>
      </c>
      <c r="AI125" t="s">
        <v>346</v>
      </c>
      <c r="AJ125" t="s">
        <v>339</v>
      </c>
      <c r="AK125">
        <v>213</v>
      </c>
      <c r="AL125" t="s">
        <v>672</v>
      </c>
      <c r="AM125" t="s">
        <v>366</v>
      </c>
      <c r="AN125" t="s">
        <v>410</v>
      </c>
      <c r="AO125" t="s">
        <v>367</v>
      </c>
      <c r="AP125" t="s">
        <v>411</v>
      </c>
      <c r="AQ125" t="s">
        <v>368</v>
      </c>
      <c r="AR125" t="s">
        <v>545</v>
      </c>
      <c r="AS125">
        <v>485</v>
      </c>
      <c r="AT125" t="s">
        <v>367</v>
      </c>
      <c r="AU125" t="s">
        <v>367</v>
      </c>
      <c r="AV125" t="s">
        <v>349</v>
      </c>
      <c r="AW125" t="s">
        <v>367</v>
      </c>
      <c r="AX125" t="s">
        <v>367</v>
      </c>
      <c r="AY125" t="s">
        <v>367</v>
      </c>
      <c r="AZ125" t="s">
        <v>367</v>
      </c>
      <c r="BA125" t="s">
        <v>367</v>
      </c>
      <c r="BB125" t="s">
        <v>367</v>
      </c>
      <c r="BC125">
        <v>2</v>
      </c>
    </row>
    <row r="126" spans="1:55" ht="15" customHeight="1" x14ac:dyDescent="0.35">
      <c r="A126" t="s">
        <v>1065</v>
      </c>
      <c r="B126" t="s">
        <v>1520</v>
      </c>
      <c r="C126" t="s">
        <v>1106</v>
      </c>
      <c r="D126" t="s">
        <v>65</v>
      </c>
      <c r="E126">
        <v>1992</v>
      </c>
      <c r="F126" t="s">
        <v>1107</v>
      </c>
      <c r="G126" t="s">
        <v>335</v>
      </c>
      <c r="H126" t="s">
        <v>335</v>
      </c>
      <c r="I126" t="s">
        <v>335</v>
      </c>
      <c r="J126" t="s">
        <v>339</v>
      </c>
      <c r="K126" t="s">
        <v>335</v>
      </c>
      <c r="L126" t="s">
        <v>335</v>
      </c>
      <c r="M126" t="s">
        <v>352</v>
      </c>
      <c r="N126" t="s">
        <v>335</v>
      </c>
      <c r="P126" t="s">
        <v>854</v>
      </c>
      <c r="Q126" t="s">
        <v>850</v>
      </c>
      <c r="R126" t="s">
        <v>1175</v>
      </c>
      <c r="S126" t="s">
        <v>1174</v>
      </c>
      <c r="T126" t="s">
        <v>348</v>
      </c>
      <c r="U126" t="s">
        <v>344</v>
      </c>
      <c r="V126">
        <v>44.951566999999997</v>
      </c>
      <c r="W126">
        <v>-109.493064</v>
      </c>
      <c r="X126">
        <v>1050</v>
      </c>
      <c r="Y126">
        <v>1987</v>
      </c>
      <c r="AA126" t="s">
        <v>1236</v>
      </c>
      <c r="AB126" t="s">
        <v>384</v>
      </c>
      <c r="AC126" t="s">
        <v>366</v>
      </c>
      <c r="AD126" t="s">
        <v>1180</v>
      </c>
      <c r="AE126" t="s">
        <v>364</v>
      </c>
      <c r="AF126" t="s">
        <v>346</v>
      </c>
      <c r="AG126" t="s">
        <v>346</v>
      </c>
      <c r="AH126" t="s">
        <v>346</v>
      </c>
      <c r="AI126" t="s">
        <v>346</v>
      </c>
      <c r="AJ126" t="s">
        <v>339</v>
      </c>
      <c r="AK126">
        <v>29</v>
      </c>
      <c r="AL126" t="s">
        <v>377</v>
      </c>
      <c r="AM126" t="s">
        <v>452</v>
      </c>
      <c r="AN126" t="s">
        <v>348</v>
      </c>
      <c r="AO126" t="s">
        <v>367</v>
      </c>
      <c r="AP126" t="s">
        <v>386</v>
      </c>
      <c r="AQ126" t="s">
        <v>368</v>
      </c>
      <c r="AR126" t="s">
        <v>369</v>
      </c>
      <c r="AS126">
        <v>21</v>
      </c>
      <c r="AT126" t="s">
        <v>349</v>
      </c>
      <c r="AU126" t="s">
        <v>349</v>
      </c>
      <c r="AV126" t="s">
        <v>367</v>
      </c>
      <c r="AW126" t="s">
        <v>367</v>
      </c>
      <c r="AX126" t="s">
        <v>367</v>
      </c>
      <c r="AY126" t="s">
        <v>367</v>
      </c>
      <c r="AZ126" t="s">
        <v>367</v>
      </c>
      <c r="BA126" t="s">
        <v>367</v>
      </c>
      <c r="BB126" t="s">
        <v>367</v>
      </c>
      <c r="BC126">
        <v>5</v>
      </c>
    </row>
    <row r="127" spans="1:55" ht="15" customHeight="1" x14ac:dyDescent="0.35">
      <c r="A127" t="s">
        <v>995</v>
      </c>
      <c r="B127" t="s">
        <v>1596</v>
      </c>
      <c r="C127" t="s">
        <v>174</v>
      </c>
      <c r="D127" t="s">
        <v>37</v>
      </c>
      <c r="E127">
        <v>2010</v>
      </c>
      <c r="F127" t="s">
        <v>175</v>
      </c>
      <c r="G127" t="s">
        <v>335</v>
      </c>
      <c r="H127" t="s">
        <v>335</v>
      </c>
      <c r="I127" t="s">
        <v>335</v>
      </c>
      <c r="J127" t="s">
        <v>339</v>
      </c>
      <c r="K127" t="s">
        <v>335</v>
      </c>
      <c r="L127" t="s">
        <v>335</v>
      </c>
      <c r="M127" t="s">
        <v>352</v>
      </c>
      <c r="N127" t="s">
        <v>352</v>
      </c>
      <c r="P127" t="s">
        <v>475</v>
      </c>
      <c r="Q127" t="s">
        <v>52</v>
      </c>
      <c r="R127" t="s">
        <v>683</v>
      </c>
      <c r="S127" t="s">
        <v>679</v>
      </c>
      <c r="T127" t="s">
        <v>1249</v>
      </c>
      <c r="U127" t="s">
        <v>471</v>
      </c>
      <c r="V127">
        <v>26.500945000000002</v>
      </c>
      <c r="W127">
        <v>-80.214416</v>
      </c>
      <c r="X127">
        <v>10</v>
      </c>
      <c r="Y127" t="s">
        <v>681</v>
      </c>
      <c r="AA127" t="s">
        <v>1247</v>
      </c>
      <c r="AB127" t="s">
        <v>400</v>
      </c>
      <c r="AC127" t="s">
        <v>366</v>
      </c>
      <c r="AD127" t="s">
        <v>1308</v>
      </c>
      <c r="AE127" t="s">
        <v>345</v>
      </c>
      <c r="AF127">
        <v>0.66</v>
      </c>
      <c r="AG127" t="s">
        <v>346</v>
      </c>
      <c r="AH127">
        <v>0.03</v>
      </c>
      <c r="AI127">
        <v>1.5</v>
      </c>
      <c r="AJ127" t="s">
        <v>538</v>
      </c>
      <c r="AK127">
        <v>140</v>
      </c>
      <c r="AL127" t="s">
        <v>377</v>
      </c>
      <c r="AM127" t="s">
        <v>347</v>
      </c>
      <c r="AN127" t="s">
        <v>348</v>
      </c>
      <c r="AO127" t="s">
        <v>367</v>
      </c>
      <c r="AP127" t="s">
        <v>350</v>
      </c>
      <c r="AQ127" t="s">
        <v>368</v>
      </c>
      <c r="AR127" t="s">
        <v>369</v>
      </c>
      <c r="AS127">
        <v>1000</v>
      </c>
      <c r="AT127" t="s">
        <v>349</v>
      </c>
      <c r="AU127" t="s">
        <v>367</v>
      </c>
      <c r="AV127" t="s">
        <v>367</v>
      </c>
      <c r="AW127" t="s">
        <v>349</v>
      </c>
      <c r="AX127" t="s">
        <v>349</v>
      </c>
      <c r="AY127" t="s">
        <v>349</v>
      </c>
      <c r="AZ127" t="s">
        <v>349</v>
      </c>
      <c r="BA127" t="s">
        <v>367</v>
      </c>
      <c r="BB127" t="s">
        <v>367</v>
      </c>
      <c r="BC127">
        <v>3</v>
      </c>
    </row>
    <row r="128" spans="1:55" ht="15" customHeight="1" x14ac:dyDescent="0.35">
      <c r="A128" t="s">
        <v>995</v>
      </c>
      <c r="B128" t="s">
        <v>1596</v>
      </c>
      <c r="C128" t="s">
        <v>174</v>
      </c>
      <c r="D128" t="s">
        <v>37</v>
      </c>
      <c r="E128">
        <v>2010</v>
      </c>
      <c r="F128" t="s">
        <v>175</v>
      </c>
      <c r="G128" t="s">
        <v>335</v>
      </c>
      <c r="H128" t="s">
        <v>335</v>
      </c>
      <c r="I128" t="s">
        <v>335</v>
      </c>
      <c r="J128" t="s">
        <v>339</v>
      </c>
      <c r="K128" t="s">
        <v>335</v>
      </c>
      <c r="L128" t="s">
        <v>335</v>
      </c>
      <c r="M128" t="s">
        <v>352</v>
      </c>
      <c r="N128" t="s">
        <v>352</v>
      </c>
      <c r="P128" t="s">
        <v>684</v>
      </c>
      <c r="Q128" t="s">
        <v>685</v>
      </c>
      <c r="R128" t="s">
        <v>664</v>
      </c>
      <c r="S128" t="s">
        <v>680</v>
      </c>
      <c r="T128" t="s">
        <v>1249</v>
      </c>
      <c r="U128" t="s">
        <v>471</v>
      </c>
      <c r="V128">
        <v>26.500945000000002</v>
      </c>
      <c r="W128">
        <v>-80.214416</v>
      </c>
      <c r="X128">
        <v>10</v>
      </c>
      <c r="Y128" t="s">
        <v>682</v>
      </c>
      <c r="AA128" t="s">
        <v>1247</v>
      </c>
      <c r="AB128" t="s">
        <v>400</v>
      </c>
      <c r="AC128" t="s">
        <v>366</v>
      </c>
      <c r="AD128" t="s">
        <v>1308</v>
      </c>
      <c r="AE128" t="s">
        <v>345</v>
      </c>
      <c r="AF128">
        <v>0.72</v>
      </c>
      <c r="AG128" t="s">
        <v>346</v>
      </c>
      <c r="AH128">
        <v>0.62</v>
      </c>
      <c r="AI128">
        <v>0.83</v>
      </c>
      <c r="AJ128" t="s">
        <v>538</v>
      </c>
      <c r="AK128">
        <v>333</v>
      </c>
      <c r="AL128" t="s">
        <v>377</v>
      </c>
      <c r="AM128" t="s">
        <v>347</v>
      </c>
      <c r="AN128" t="s">
        <v>348</v>
      </c>
      <c r="AO128" t="s">
        <v>367</v>
      </c>
      <c r="AP128" t="s">
        <v>350</v>
      </c>
      <c r="AQ128" t="s">
        <v>368</v>
      </c>
      <c r="AR128" t="s">
        <v>369</v>
      </c>
      <c r="AS128">
        <v>900</v>
      </c>
      <c r="AT128" t="s">
        <v>349</v>
      </c>
      <c r="AU128" t="s">
        <v>367</v>
      </c>
      <c r="AV128" t="s">
        <v>367</v>
      </c>
      <c r="AW128" t="s">
        <v>367</v>
      </c>
      <c r="AX128" t="s">
        <v>367</v>
      </c>
      <c r="AY128" t="s">
        <v>367</v>
      </c>
      <c r="AZ128" t="s">
        <v>367</v>
      </c>
      <c r="BA128" t="s">
        <v>367</v>
      </c>
      <c r="BB128" t="s">
        <v>367</v>
      </c>
      <c r="BC128">
        <v>2.5</v>
      </c>
    </row>
    <row r="129" spans="1:55" ht="15" customHeight="1" x14ac:dyDescent="0.35">
      <c r="A129" t="s">
        <v>995</v>
      </c>
      <c r="B129" t="s">
        <v>1597</v>
      </c>
      <c r="C129" t="s">
        <v>176</v>
      </c>
      <c r="D129" t="s">
        <v>88</v>
      </c>
      <c r="E129">
        <v>2014</v>
      </c>
      <c r="F129" t="s">
        <v>177</v>
      </c>
      <c r="G129" t="s">
        <v>335</v>
      </c>
      <c r="H129" t="s">
        <v>335</v>
      </c>
      <c r="I129" t="s">
        <v>335</v>
      </c>
      <c r="J129" t="s">
        <v>339</v>
      </c>
      <c r="K129" t="s">
        <v>335</v>
      </c>
      <c r="L129" t="s">
        <v>335</v>
      </c>
      <c r="M129" t="s">
        <v>352</v>
      </c>
      <c r="N129" t="s">
        <v>335</v>
      </c>
      <c r="P129" t="s">
        <v>581</v>
      </c>
      <c r="Q129" t="s">
        <v>582</v>
      </c>
      <c r="R129" t="s">
        <v>443</v>
      </c>
      <c r="S129" t="s">
        <v>444</v>
      </c>
      <c r="T129" t="s">
        <v>1249</v>
      </c>
      <c r="U129" t="s">
        <v>471</v>
      </c>
      <c r="V129">
        <v>47.454300000000003</v>
      </c>
      <c r="W129">
        <v>9.1443999999999992</v>
      </c>
      <c r="X129">
        <v>608</v>
      </c>
      <c r="Y129" t="s">
        <v>686</v>
      </c>
      <c r="Z129" t="s">
        <v>1309</v>
      </c>
      <c r="AA129" t="s">
        <v>393</v>
      </c>
      <c r="AB129" t="s">
        <v>393</v>
      </c>
      <c r="AC129" t="s">
        <v>1237</v>
      </c>
      <c r="AD129" t="s">
        <v>1261</v>
      </c>
      <c r="AE129" t="s">
        <v>364</v>
      </c>
      <c r="AF129" t="s">
        <v>346</v>
      </c>
      <c r="AG129" t="s">
        <v>346</v>
      </c>
      <c r="AH129" t="s">
        <v>346</v>
      </c>
      <c r="AI129" t="s">
        <v>346</v>
      </c>
      <c r="AJ129" t="s">
        <v>339</v>
      </c>
      <c r="AK129">
        <v>569</v>
      </c>
      <c r="AL129" t="s">
        <v>687</v>
      </c>
      <c r="AM129" t="s">
        <v>347</v>
      </c>
      <c r="AN129" t="s">
        <v>348</v>
      </c>
      <c r="AO129" t="s">
        <v>367</v>
      </c>
      <c r="AP129" t="s">
        <v>350</v>
      </c>
      <c r="AQ129" t="s">
        <v>368</v>
      </c>
      <c r="AR129" t="s">
        <v>369</v>
      </c>
      <c r="AS129">
        <v>3338</v>
      </c>
      <c r="AT129" t="s">
        <v>349</v>
      </c>
      <c r="AU129" t="s">
        <v>367</v>
      </c>
      <c r="AV129" t="s">
        <v>367</v>
      </c>
      <c r="AW129" t="s">
        <v>349</v>
      </c>
      <c r="AX129" t="s">
        <v>349</v>
      </c>
      <c r="AY129" t="s">
        <v>367</v>
      </c>
      <c r="AZ129" t="s">
        <v>349</v>
      </c>
      <c r="BA129" t="s">
        <v>349</v>
      </c>
      <c r="BB129" t="s">
        <v>349</v>
      </c>
      <c r="BC129">
        <v>4</v>
      </c>
    </row>
    <row r="130" spans="1:55" ht="15" customHeight="1" x14ac:dyDescent="0.35">
      <c r="A130" t="s">
        <v>995</v>
      </c>
      <c r="B130" t="s">
        <v>1598</v>
      </c>
      <c r="C130" t="s">
        <v>178</v>
      </c>
      <c r="D130" t="s">
        <v>108</v>
      </c>
      <c r="E130">
        <v>2005</v>
      </c>
      <c r="F130" t="s">
        <v>1061</v>
      </c>
      <c r="G130" t="s">
        <v>335</v>
      </c>
      <c r="H130" t="s">
        <v>335</v>
      </c>
      <c r="I130" t="s">
        <v>335</v>
      </c>
      <c r="J130" t="s">
        <v>339</v>
      </c>
      <c r="K130" t="s">
        <v>335</v>
      </c>
      <c r="L130" t="s">
        <v>335</v>
      </c>
      <c r="M130" t="s">
        <v>352</v>
      </c>
      <c r="N130" t="s">
        <v>352</v>
      </c>
      <c r="P130" t="s">
        <v>480</v>
      </c>
      <c r="Q130" t="s">
        <v>481</v>
      </c>
      <c r="R130" t="s">
        <v>482</v>
      </c>
      <c r="S130" t="s">
        <v>1514</v>
      </c>
      <c r="T130" t="s">
        <v>1235</v>
      </c>
      <c r="U130" t="s">
        <v>639</v>
      </c>
      <c r="V130">
        <v>44.07</v>
      </c>
      <c r="W130">
        <v>-107.16</v>
      </c>
      <c r="X130">
        <v>2210</v>
      </c>
      <c r="Y130" t="s">
        <v>688</v>
      </c>
      <c r="Z130" t="s">
        <v>1310</v>
      </c>
      <c r="AA130" t="s">
        <v>1236</v>
      </c>
      <c r="AB130" t="s">
        <v>915</v>
      </c>
      <c r="AC130" t="s">
        <v>1241</v>
      </c>
      <c r="AD130" t="s">
        <v>1311</v>
      </c>
      <c r="AE130" t="s">
        <v>345</v>
      </c>
      <c r="AF130">
        <v>6.6000000000000003E-2</v>
      </c>
      <c r="AG130" t="s">
        <v>346</v>
      </c>
      <c r="AH130" t="s">
        <v>346</v>
      </c>
      <c r="AI130" t="s">
        <v>346</v>
      </c>
      <c r="AJ130" t="s">
        <v>592</v>
      </c>
      <c r="AK130">
        <v>20</v>
      </c>
      <c r="AL130" t="s">
        <v>807</v>
      </c>
      <c r="AM130" t="s">
        <v>347</v>
      </c>
      <c r="AN130" t="s">
        <v>348</v>
      </c>
      <c r="AO130" t="s">
        <v>349</v>
      </c>
      <c r="AP130" t="s">
        <v>355</v>
      </c>
      <c r="AQ130" t="s">
        <v>351</v>
      </c>
      <c r="AR130" t="s">
        <v>356</v>
      </c>
      <c r="AS130">
        <v>1950</v>
      </c>
      <c r="AT130" t="s">
        <v>349</v>
      </c>
      <c r="AU130" t="s">
        <v>349</v>
      </c>
      <c r="AV130" t="s">
        <v>367</v>
      </c>
      <c r="AW130" t="s">
        <v>367</v>
      </c>
      <c r="AX130" t="s">
        <v>367</v>
      </c>
      <c r="AY130" t="s">
        <v>367</v>
      </c>
      <c r="AZ130" t="s">
        <v>367</v>
      </c>
      <c r="BA130" t="s">
        <v>367</v>
      </c>
      <c r="BB130" t="s">
        <v>367</v>
      </c>
      <c r="BC130">
        <v>7.5</v>
      </c>
    </row>
    <row r="131" spans="1:55" ht="15" customHeight="1" x14ac:dyDescent="0.35">
      <c r="A131" t="s">
        <v>995</v>
      </c>
      <c r="B131" t="s">
        <v>1598</v>
      </c>
      <c r="C131" t="s">
        <v>178</v>
      </c>
      <c r="D131" t="s">
        <v>108</v>
      </c>
      <c r="E131">
        <v>2005</v>
      </c>
      <c r="F131" t="s">
        <v>1061</v>
      </c>
      <c r="G131" t="s">
        <v>335</v>
      </c>
      <c r="H131" t="s">
        <v>335</v>
      </c>
      <c r="I131" t="s">
        <v>335</v>
      </c>
      <c r="J131" t="s">
        <v>339</v>
      </c>
      <c r="K131" t="s">
        <v>335</v>
      </c>
      <c r="L131" t="s">
        <v>335</v>
      </c>
      <c r="M131" t="s">
        <v>352</v>
      </c>
      <c r="N131" t="s">
        <v>352</v>
      </c>
      <c r="P131" t="s">
        <v>480</v>
      </c>
      <c r="Q131" t="s">
        <v>481</v>
      </c>
      <c r="R131" t="s">
        <v>482</v>
      </c>
      <c r="S131" t="s">
        <v>1514</v>
      </c>
      <c r="T131" t="s">
        <v>1235</v>
      </c>
      <c r="U131" t="s">
        <v>639</v>
      </c>
      <c r="V131">
        <v>44.07</v>
      </c>
      <c r="W131">
        <v>-107.16</v>
      </c>
      <c r="X131">
        <v>2210</v>
      </c>
      <c r="Y131" t="s">
        <v>688</v>
      </c>
      <c r="Z131" t="s">
        <v>1312</v>
      </c>
      <c r="AA131" t="s">
        <v>1236</v>
      </c>
      <c r="AB131" t="s">
        <v>915</v>
      </c>
      <c r="AC131" t="s">
        <v>1241</v>
      </c>
      <c r="AD131" t="s">
        <v>1248</v>
      </c>
      <c r="AE131" t="s">
        <v>345</v>
      </c>
      <c r="AF131">
        <v>0.114</v>
      </c>
      <c r="AG131" t="s">
        <v>346</v>
      </c>
      <c r="AH131" t="s">
        <v>346</v>
      </c>
      <c r="AI131" t="s">
        <v>346</v>
      </c>
      <c r="AJ131" t="s">
        <v>592</v>
      </c>
      <c r="AK131">
        <v>20</v>
      </c>
      <c r="AL131" t="s">
        <v>807</v>
      </c>
      <c r="AM131" t="s">
        <v>347</v>
      </c>
      <c r="AN131" t="s">
        <v>348</v>
      </c>
      <c r="AO131" t="s">
        <v>349</v>
      </c>
      <c r="AP131" t="s">
        <v>355</v>
      </c>
      <c r="AQ131" t="s">
        <v>351</v>
      </c>
      <c r="AR131" t="s">
        <v>356</v>
      </c>
      <c r="AS131">
        <v>1950</v>
      </c>
      <c r="AT131" t="s">
        <v>349</v>
      </c>
      <c r="AU131" t="s">
        <v>349</v>
      </c>
      <c r="AV131" t="s">
        <v>367</v>
      </c>
      <c r="AW131" t="s">
        <v>367</v>
      </c>
      <c r="AX131" t="s">
        <v>367</v>
      </c>
      <c r="AY131" t="s">
        <v>367</v>
      </c>
      <c r="AZ131" t="s">
        <v>367</v>
      </c>
      <c r="BA131" t="s">
        <v>367</v>
      </c>
      <c r="BB131" t="s">
        <v>367</v>
      </c>
      <c r="BC131">
        <v>7.5</v>
      </c>
    </row>
    <row r="132" spans="1:55" ht="15" customHeight="1" x14ac:dyDescent="0.35">
      <c r="A132" t="s">
        <v>995</v>
      </c>
      <c r="B132" t="s">
        <v>1599</v>
      </c>
      <c r="C132" t="s">
        <v>1696</v>
      </c>
      <c r="D132" t="s">
        <v>179</v>
      </c>
      <c r="E132" t="str">
        <f>"2007"</f>
        <v>2007</v>
      </c>
      <c r="F132" t="s">
        <v>180</v>
      </c>
      <c r="G132" t="s">
        <v>335</v>
      </c>
      <c r="H132" t="s">
        <v>335</v>
      </c>
      <c r="I132" t="s">
        <v>335</v>
      </c>
      <c r="J132" t="s">
        <v>339</v>
      </c>
      <c r="K132" t="s">
        <v>335</v>
      </c>
      <c r="L132" t="s">
        <v>335</v>
      </c>
      <c r="M132" t="s">
        <v>352</v>
      </c>
      <c r="N132" t="s">
        <v>335</v>
      </c>
      <c r="P132" t="s">
        <v>427</v>
      </c>
      <c r="Q132" t="s">
        <v>428</v>
      </c>
      <c r="R132" t="s">
        <v>570</v>
      </c>
      <c r="S132" t="s">
        <v>568</v>
      </c>
      <c r="T132" t="s">
        <v>1249</v>
      </c>
      <c r="U132" t="s">
        <v>422</v>
      </c>
      <c r="V132">
        <v>26.276219999999999</v>
      </c>
      <c r="W132">
        <v>-97.360538000000005</v>
      </c>
      <c r="X132">
        <v>0</v>
      </c>
      <c r="Y132" t="s">
        <v>690</v>
      </c>
      <c r="AA132" t="s">
        <v>1247</v>
      </c>
      <c r="AB132" t="s">
        <v>400</v>
      </c>
      <c r="AC132" t="s">
        <v>366</v>
      </c>
      <c r="AD132" t="s">
        <v>433</v>
      </c>
      <c r="AE132" t="s">
        <v>354</v>
      </c>
      <c r="AF132" t="s">
        <v>346</v>
      </c>
      <c r="AG132" t="s">
        <v>346</v>
      </c>
      <c r="AH132" t="s">
        <v>346</v>
      </c>
      <c r="AI132" t="s">
        <v>346</v>
      </c>
      <c r="AJ132" t="s">
        <v>339</v>
      </c>
      <c r="AK132">
        <v>105</v>
      </c>
      <c r="AL132" t="s">
        <v>377</v>
      </c>
      <c r="AM132" t="s">
        <v>339</v>
      </c>
      <c r="AN132" t="s">
        <v>348</v>
      </c>
      <c r="AO132" t="s">
        <v>349</v>
      </c>
      <c r="AP132" t="s">
        <v>355</v>
      </c>
      <c r="AQ132" t="s">
        <v>351</v>
      </c>
      <c r="AR132" t="s">
        <v>369</v>
      </c>
      <c r="AS132">
        <v>46</v>
      </c>
      <c r="AT132" t="s">
        <v>349</v>
      </c>
      <c r="AU132" t="s">
        <v>367</v>
      </c>
      <c r="AV132" t="s">
        <v>367</v>
      </c>
      <c r="AW132" t="s">
        <v>367</v>
      </c>
      <c r="AX132" t="s">
        <v>367</v>
      </c>
      <c r="AY132" t="s">
        <v>367</v>
      </c>
      <c r="AZ132" t="s">
        <v>367</v>
      </c>
      <c r="BA132" t="s">
        <v>367</v>
      </c>
      <c r="BB132" t="s">
        <v>367</v>
      </c>
      <c r="BC132">
        <v>3</v>
      </c>
    </row>
    <row r="133" spans="1:55" ht="15" customHeight="1" x14ac:dyDescent="0.35">
      <c r="A133" t="s">
        <v>995</v>
      </c>
      <c r="B133" t="s">
        <v>1599</v>
      </c>
      <c r="C133" t="s">
        <v>1696</v>
      </c>
      <c r="D133" t="s">
        <v>179</v>
      </c>
      <c r="E133" t="str">
        <f>"2007"</f>
        <v>2007</v>
      </c>
      <c r="F133" t="s">
        <v>180</v>
      </c>
      <c r="G133" t="s">
        <v>335</v>
      </c>
      <c r="H133" t="s">
        <v>335</v>
      </c>
      <c r="I133" t="s">
        <v>335</v>
      </c>
      <c r="J133" t="s">
        <v>339</v>
      </c>
      <c r="K133" t="s">
        <v>335</v>
      </c>
      <c r="L133" t="s">
        <v>335</v>
      </c>
      <c r="M133" t="s">
        <v>352</v>
      </c>
      <c r="N133" t="s">
        <v>335</v>
      </c>
      <c r="P133" t="s">
        <v>427</v>
      </c>
      <c r="Q133" t="s">
        <v>428</v>
      </c>
      <c r="R133" t="s">
        <v>692</v>
      </c>
      <c r="S133" t="s">
        <v>689</v>
      </c>
      <c r="T133" t="s">
        <v>1249</v>
      </c>
      <c r="U133" t="s">
        <v>422</v>
      </c>
      <c r="V133">
        <v>26.276219999999999</v>
      </c>
      <c r="W133">
        <v>-97.360538000000005</v>
      </c>
      <c r="X133">
        <v>0</v>
      </c>
      <c r="Y133" t="s">
        <v>691</v>
      </c>
      <c r="AA133" t="s">
        <v>1247</v>
      </c>
      <c r="AB133" t="s">
        <v>400</v>
      </c>
      <c r="AC133" t="s">
        <v>366</v>
      </c>
      <c r="AD133" t="s">
        <v>433</v>
      </c>
      <c r="AE133" t="s">
        <v>354</v>
      </c>
      <c r="AF133" t="s">
        <v>346</v>
      </c>
      <c r="AG133" t="s">
        <v>346</v>
      </c>
      <c r="AH133" t="s">
        <v>346</v>
      </c>
      <c r="AI133" t="s">
        <v>346</v>
      </c>
      <c r="AJ133" t="s">
        <v>339</v>
      </c>
      <c r="AK133">
        <v>94</v>
      </c>
      <c r="AL133" t="s">
        <v>377</v>
      </c>
      <c r="AM133" t="s">
        <v>339</v>
      </c>
      <c r="AN133" t="s">
        <v>348</v>
      </c>
      <c r="AO133" t="s">
        <v>349</v>
      </c>
      <c r="AP133" t="s">
        <v>355</v>
      </c>
      <c r="AQ133" t="s">
        <v>351</v>
      </c>
      <c r="AR133" t="s">
        <v>369</v>
      </c>
      <c r="AS133">
        <v>62</v>
      </c>
      <c r="AT133" t="s">
        <v>349</v>
      </c>
      <c r="AU133" t="s">
        <v>367</v>
      </c>
      <c r="AV133" t="s">
        <v>367</v>
      </c>
      <c r="AW133" t="s">
        <v>367</v>
      </c>
      <c r="AX133" t="s">
        <v>367</v>
      </c>
      <c r="AY133" t="s">
        <v>367</v>
      </c>
      <c r="AZ133" t="s">
        <v>367</v>
      </c>
      <c r="BA133" t="s">
        <v>367</v>
      </c>
      <c r="BB133" t="s">
        <v>367</v>
      </c>
      <c r="BC133">
        <v>3</v>
      </c>
    </row>
    <row r="134" spans="1:55" ht="15" customHeight="1" x14ac:dyDescent="0.35">
      <c r="A134" t="s">
        <v>995</v>
      </c>
      <c r="B134" t="s">
        <v>1600</v>
      </c>
      <c r="C134" t="s">
        <v>1386</v>
      </c>
      <c r="D134" t="s">
        <v>34</v>
      </c>
      <c r="E134">
        <v>2022</v>
      </c>
      <c r="F134" t="s">
        <v>1387</v>
      </c>
      <c r="G134" t="s">
        <v>335</v>
      </c>
      <c r="H134" t="s">
        <v>352</v>
      </c>
      <c r="I134" t="s">
        <v>335</v>
      </c>
      <c r="J134" t="s">
        <v>339</v>
      </c>
      <c r="K134" t="s">
        <v>335</v>
      </c>
      <c r="L134" t="s">
        <v>352</v>
      </c>
      <c r="M134" t="s">
        <v>352</v>
      </c>
      <c r="N134" t="s">
        <v>335</v>
      </c>
      <c r="O134" t="s">
        <v>1451</v>
      </c>
      <c r="P134" t="s">
        <v>1457</v>
      </c>
      <c r="Q134" t="s">
        <v>1455</v>
      </c>
      <c r="R134" t="s">
        <v>1456</v>
      </c>
      <c r="S134" t="s">
        <v>1454</v>
      </c>
      <c r="T134" t="s">
        <v>1249</v>
      </c>
      <c r="U134" t="s">
        <v>422</v>
      </c>
      <c r="V134">
        <v>53.483333000000002</v>
      </c>
      <c r="W134">
        <v>6.6666670000000003</v>
      </c>
      <c r="X134">
        <v>10</v>
      </c>
      <c r="Y134" t="s">
        <v>1458</v>
      </c>
      <c r="Z134" t="s">
        <v>1459</v>
      </c>
      <c r="AA134" t="s">
        <v>1236</v>
      </c>
      <c r="AB134" t="s">
        <v>1452</v>
      </c>
      <c r="AC134" t="s">
        <v>366</v>
      </c>
      <c r="AD134" t="s">
        <v>1453</v>
      </c>
      <c r="AE134" t="s">
        <v>354</v>
      </c>
      <c r="AF134" t="s">
        <v>346</v>
      </c>
      <c r="AG134" t="s">
        <v>346</v>
      </c>
      <c r="AH134" t="s">
        <v>346</v>
      </c>
      <c r="AI134" t="s">
        <v>346</v>
      </c>
      <c r="AJ134" t="s">
        <v>592</v>
      </c>
      <c r="AK134" t="s">
        <v>346</v>
      </c>
      <c r="AL134" t="s">
        <v>346</v>
      </c>
      <c r="AM134" t="s">
        <v>347</v>
      </c>
      <c r="AN134" t="s">
        <v>348</v>
      </c>
      <c r="AO134" t="s">
        <v>349</v>
      </c>
      <c r="AP134" t="s">
        <v>355</v>
      </c>
      <c r="AQ134" t="s">
        <v>351</v>
      </c>
      <c r="AR134" t="s">
        <v>369</v>
      </c>
      <c r="AS134">
        <v>622.5</v>
      </c>
      <c r="AT134" t="s">
        <v>349</v>
      </c>
      <c r="AU134" t="s">
        <v>367</v>
      </c>
      <c r="AV134" t="s">
        <v>367</v>
      </c>
      <c r="AW134" t="s">
        <v>367</v>
      </c>
      <c r="AX134" t="s">
        <v>349</v>
      </c>
      <c r="AY134" t="s">
        <v>367</v>
      </c>
      <c r="AZ134" t="s">
        <v>367</v>
      </c>
      <c r="BA134" t="s">
        <v>367</v>
      </c>
      <c r="BB134" t="s">
        <v>367</v>
      </c>
      <c r="BC134">
        <v>3</v>
      </c>
    </row>
    <row r="135" spans="1:55" ht="15" customHeight="1" x14ac:dyDescent="0.35">
      <c r="A135" t="s">
        <v>995</v>
      </c>
      <c r="B135" t="s">
        <v>1601</v>
      </c>
      <c r="C135" t="s">
        <v>1036</v>
      </c>
      <c r="D135" t="s">
        <v>119</v>
      </c>
      <c r="E135">
        <v>2000</v>
      </c>
      <c r="F135" t="s">
        <v>342</v>
      </c>
      <c r="G135" t="s">
        <v>335</v>
      </c>
      <c r="H135" t="s">
        <v>335</v>
      </c>
      <c r="I135" t="s">
        <v>335</v>
      </c>
      <c r="J135" t="s">
        <v>339</v>
      </c>
      <c r="K135" t="s">
        <v>335</v>
      </c>
      <c r="L135" t="s">
        <v>335</v>
      </c>
      <c r="M135" t="s">
        <v>352</v>
      </c>
      <c r="N135" t="s">
        <v>352</v>
      </c>
      <c r="P135" t="s">
        <v>357</v>
      </c>
      <c r="Q135" t="s">
        <v>358</v>
      </c>
      <c r="R135" t="s">
        <v>359</v>
      </c>
      <c r="S135" t="s">
        <v>360</v>
      </c>
      <c r="T135" t="s">
        <v>1249</v>
      </c>
      <c r="U135" t="s">
        <v>422</v>
      </c>
      <c r="V135">
        <v>-34.1</v>
      </c>
      <c r="W135">
        <v>18.25</v>
      </c>
      <c r="X135">
        <v>550</v>
      </c>
      <c r="Y135" t="s">
        <v>1035</v>
      </c>
      <c r="Z135" t="s">
        <v>1034</v>
      </c>
      <c r="AA135" t="s">
        <v>393</v>
      </c>
      <c r="AB135" t="s">
        <v>393</v>
      </c>
      <c r="AC135" t="s">
        <v>1241</v>
      </c>
      <c r="AD135" t="s">
        <v>1313</v>
      </c>
      <c r="AE135" t="s">
        <v>364</v>
      </c>
      <c r="AF135">
        <v>-0.01</v>
      </c>
      <c r="AG135" t="s">
        <v>346</v>
      </c>
      <c r="AH135" t="s">
        <v>346</v>
      </c>
      <c r="AI135" t="s">
        <v>346</v>
      </c>
      <c r="AJ135" t="s">
        <v>592</v>
      </c>
      <c r="AK135">
        <v>105</v>
      </c>
      <c r="AL135" t="s">
        <v>1037</v>
      </c>
      <c r="AM135" t="s">
        <v>347</v>
      </c>
      <c r="AN135" t="s">
        <v>348</v>
      </c>
      <c r="AO135" t="s">
        <v>367</v>
      </c>
      <c r="AP135" t="s">
        <v>350</v>
      </c>
      <c r="AQ135" t="s">
        <v>368</v>
      </c>
      <c r="AR135" t="s">
        <v>369</v>
      </c>
      <c r="AS135">
        <v>1005</v>
      </c>
      <c r="AT135" t="s">
        <v>349</v>
      </c>
      <c r="AU135" t="s">
        <v>367</v>
      </c>
      <c r="AV135" t="s">
        <v>367</v>
      </c>
      <c r="AW135" t="s">
        <v>349</v>
      </c>
      <c r="AX135" t="s">
        <v>349</v>
      </c>
      <c r="AY135" t="s">
        <v>367</v>
      </c>
      <c r="AZ135" t="s">
        <v>349</v>
      </c>
      <c r="BA135" t="s">
        <v>349</v>
      </c>
      <c r="BB135" t="s">
        <v>367</v>
      </c>
      <c r="BC135">
        <v>3.5</v>
      </c>
    </row>
    <row r="136" spans="1:55" ht="15" customHeight="1" x14ac:dyDescent="0.35">
      <c r="A136" t="s">
        <v>995</v>
      </c>
      <c r="B136" t="s">
        <v>1602</v>
      </c>
      <c r="C136" t="s">
        <v>181</v>
      </c>
      <c r="D136" t="s">
        <v>182</v>
      </c>
      <c r="E136">
        <v>2020</v>
      </c>
      <c r="F136" t="s">
        <v>183</v>
      </c>
      <c r="G136" t="s">
        <v>335</v>
      </c>
      <c r="H136" t="s">
        <v>335</v>
      </c>
      <c r="I136" t="s">
        <v>335</v>
      </c>
      <c r="J136" t="s">
        <v>339</v>
      </c>
      <c r="K136" t="s">
        <v>335</v>
      </c>
      <c r="L136" t="s">
        <v>335</v>
      </c>
      <c r="M136" t="s">
        <v>352</v>
      </c>
      <c r="N136" t="s">
        <v>352</v>
      </c>
      <c r="P136" t="s">
        <v>353</v>
      </c>
      <c r="Q136" t="s">
        <v>425</v>
      </c>
      <c r="R136" t="s">
        <v>697</v>
      </c>
      <c r="S136" t="s">
        <v>696</v>
      </c>
      <c r="T136" t="s">
        <v>348</v>
      </c>
      <c r="U136" t="s">
        <v>361</v>
      </c>
      <c r="V136">
        <v>73</v>
      </c>
      <c r="W136">
        <v>-80</v>
      </c>
      <c r="X136">
        <v>150</v>
      </c>
      <c r="Y136" t="s">
        <v>375</v>
      </c>
      <c r="Z136" t="s">
        <v>694</v>
      </c>
      <c r="AA136" t="s">
        <v>1236</v>
      </c>
      <c r="AB136" t="s">
        <v>384</v>
      </c>
      <c r="AC136" t="s">
        <v>366</v>
      </c>
      <c r="AD136" t="s">
        <v>695</v>
      </c>
      <c r="AE136" t="s">
        <v>345</v>
      </c>
      <c r="AF136">
        <v>2.11</v>
      </c>
      <c r="AG136">
        <v>0.12</v>
      </c>
      <c r="AH136" t="s">
        <v>346</v>
      </c>
      <c r="AI136" t="s">
        <v>346</v>
      </c>
      <c r="AJ136" t="s">
        <v>693</v>
      </c>
      <c r="AK136">
        <v>4024</v>
      </c>
      <c r="AL136" t="s">
        <v>377</v>
      </c>
      <c r="AM136" t="s">
        <v>347</v>
      </c>
      <c r="AN136" t="s">
        <v>348</v>
      </c>
      <c r="AO136" t="s">
        <v>349</v>
      </c>
      <c r="AP136" t="s">
        <v>355</v>
      </c>
      <c r="AQ136" t="s">
        <v>351</v>
      </c>
      <c r="AR136" t="s">
        <v>369</v>
      </c>
      <c r="AS136">
        <v>2333</v>
      </c>
      <c r="AT136" t="s">
        <v>367</v>
      </c>
      <c r="AU136" t="s">
        <v>349</v>
      </c>
      <c r="AV136" t="s">
        <v>367</v>
      </c>
      <c r="AW136" t="s">
        <v>367</v>
      </c>
      <c r="AX136" t="s">
        <v>367</v>
      </c>
      <c r="AY136" t="s">
        <v>367</v>
      </c>
      <c r="AZ136" t="s">
        <v>367</v>
      </c>
      <c r="BA136" t="s">
        <v>367</v>
      </c>
      <c r="BB136" t="s">
        <v>367</v>
      </c>
      <c r="BC136">
        <v>4</v>
      </c>
    </row>
    <row r="137" spans="1:55" ht="15" customHeight="1" x14ac:dyDescent="0.35">
      <c r="A137" t="s">
        <v>995</v>
      </c>
      <c r="B137" t="s">
        <v>1603</v>
      </c>
      <c r="C137" t="s">
        <v>185</v>
      </c>
      <c r="D137" t="s">
        <v>186</v>
      </c>
      <c r="E137">
        <v>2012</v>
      </c>
      <c r="F137" t="s">
        <v>187</v>
      </c>
      <c r="G137" t="s">
        <v>335</v>
      </c>
      <c r="H137" t="s">
        <v>335</v>
      </c>
      <c r="I137" t="s">
        <v>335</v>
      </c>
      <c r="J137" t="s">
        <v>339</v>
      </c>
      <c r="K137" t="s">
        <v>335</v>
      </c>
      <c r="L137" t="s">
        <v>335</v>
      </c>
      <c r="M137" t="s">
        <v>352</v>
      </c>
      <c r="N137" t="s">
        <v>352</v>
      </c>
      <c r="P137" t="s">
        <v>581</v>
      </c>
      <c r="Q137" t="s">
        <v>582</v>
      </c>
      <c r="R137" t="s">
        <v>443</v>
      </c>
      <c r="S137" t="s">
        <v>444</v>
      </c>
      <c r="T137" t="s">
        <v>348</v>
      </c>
      <c r="U137" t="s">
        <v>905</v>
      </c>
      <c r="V137">
        <v>51.839792000000003</v>
      </c>
      <c r="W137">
        <v>16.493019</v>
      </c>
      <c r="X137">
        <v>78</v>
      </c>
      <c r="Y137" t="s">
        <v>681</v>
      </c>
      <c r="AA137" t="s">
        <v>1236</v>
      </c>
      <c r="AB137" t="s">
        <v>446</v>
      </c>
      <c r="AC137" t="s">
        <v>366</v>
      </c>
      <c r="AD137" t="s">
        <v>1003</v>
      </c>
      <c r="AE137" t="s">
        <v>364</v>
      </c>
      <c r="AF137">
        <v>5.0999999999999997E-2</v>
      </c>
      <c r="AG137" t="s">
        <v>346</v>
      </c>
      <c r="AH137" t="s">
        <v>346</v>
      </c>
      <c r="AI137" t="s">
        <v>346</v>
      </c>
      <c r="AJ137" t="s">
        <v>592</v>
      </c>
      <c r="AK137">
        <v>62</v>
      </c>
      <c r="AL137" t="s">
        <v>377</v>
      </c>
      <c r="AM137" t="s">
        <v>347</v>
      </c>
      <c r="AN137" t="s">
        <v>348</v>
      </c>
      <c r="AO137" t="s">
        <v>367</v>
      </c>
      <c r="AP137" t="s">
        <v>350</v>
      </c>
      <c r="AQ137" t="s">
        <v>368</v>
      </c>
      <c r="AR137" t="s">
        <v>369</v>
      </c>
      <c r="AS137">
        <v>3338</v>
      </c>
      <c r="AT137" t="s">
        <v>349</v>
      </c>
      <c r="AU137" t="s">
        <v>367</v>
      </c>
      <c r="AV137" t="s">
        <v>367</v>
      </c>
      <c r="AW137" t="s">
        <v>349</v>
      </c>
      <c r="AX137" t="s">
        <v>349</v>
      </c>
      <c r="AY137" t="s">
        <v>367</v>
      </c>
      <c r="AZ137" t="s">
        <v>349</v>
      </c>
      <c r="BA137" t="s">
        <v>349</v>
      </c>
      <c r="BB137" t="s">
        <v>349</v>
      </c>
      <c r="BC137">
        <v>4</v>
      </c>
    </row>
    <row r="138" spans="1:55" ht="15" customHeight="1" x14ac:dyDescent="0.35">
      <c r="A138" t="s">
        <v>995</v>
      </c>
      <c r="B138" t="s">
        <v>1604</v>
      </c>
      <c r="C138" t="s">
        <v>188</v>
      </c>
      <c r="D138" t="s">
        <v>78</v>
      </c>
      <c r="E138">
        <v>2006</v>
      </c>
      <c r="F138" t="s">
        <v>189</v>
      </c>
      <c r="G138" t="s">
        <v>335</v>
      </c>
      <c r="H138" t="s">
        <v>335</v>
      </c>
      <c r="I138" t="s">
        <v>335</v>
      </c>
      <c r="J138" t="s">
        <v>339</v>
      </c>
      <c r="K138" t="s">
        <v>335</v>
      </c>
      <c r="L138" t="s">
        <v>335</v>
      </c>
      <c r="M138" t="s">
        <v>352</v>
      </c>
      <c r="N138" t="s">
        <v>352</v>
      </c>
      <c r="P138" t="s">
        <v>549</v>
      </c>
      <c r="Q138" t="s">
        <v>702</v>
      </c>
      <c r="R138" t="s">
        <v>520</v>
      </c>
      <c r="S138" t="s">
        <v>698</v>
      </c>
      <c r="T138" t="s">
        <v>1235</v>
      </c>
      <c r="U138" t="s">
        <v>1239</v>
      </c>
      <c r="V138">
        <v>52.09</v>
      </c>
      <c r="W138">
        <v>17.309999999999999</v>
      </c>
      <c r="X138">
        <v>77</v>
      </c>
      <c r="Y138" t="s">
        <v>700</v>
      </c>
      <c r="AA138" t="s">
        <v>1236</v>
      </c>
      <c r="AB138" t="s">
        <v>363</v>
      </c>
      <c r="AC138" t="s">
        <v>366</v>
      </c>
      <c r="AD138" t="s">
        <v>1305</v>
      </c>
      <c r="AE138" t="s">
        <v>364</v>
      </c>
      <c r="AF138">
        <v>-7.8E-2</v>
      </c>
      <c r="AG138">
        <v>1.9E-2</v>
      </c>
      <c r="AH138" t="s">
        <v>346</v>
      </c>
      <c r="AI138" t="s">
        <v>346</v>
      </c>
      <c r="AJ138" t="s">
        <v>592</v>
      </c>
      <c r="AK138">
        <v>99</v>
      </c>
      <c r="AL138" t="s">
        <v>377</v>
      </c>
      <c r="AM138" t="s">
        <v>347</v>
      </c>
      <c r="AN138" t="s">
        <v>410</v>
      </c>
      <c r="AO138" t="s">
        <v>367</v>
      </c>
      <c r="AP138" t="s">
        <v>411</v>
      </c>
      <c r="AQ138" t="s">
        <v>368</v>
      </c>
      <c r="AR138" t="s">
        <v>369</v>
      </c>
      <c r="AS138">
        <v>75</v>
      </c>
      <c r="AT138" t="s">
        <v>349</v>
      </c>
      <c r="AU138" t="s">
        <v>349</v>
      </c>
      <c r="AV138" t="s">
        <v>349</v>
      </c>
      <c r="AW138" t="s">
        <v>349</v>
      </c>
      <c r="AX138" t="s">
        <v>367</v>
      </c>
      <c r="AY138" t="s">
        <v>349</v>
      </c>
      <c r="AZ138" t="s">
        <v>367</v>
      </c>
      <c r="BA138" t="s">
        <v>367</v>
      </c>
      <c r="BB138" t="s">
        <v>367</v>
      </c>
      <c r="BC138">
        <v>6</v>
      </c>
    </row>
    <row r="139" spans="1:55" ht="15" customHeight="1" x14ac:dyDescent="0.35">
      <c r="A139" t="s">
        <v>995</v>
      </c>
      <c r="B139" t="s">
        <v>1604</v>
      </c>
      <c r="C139" t="s">
        <v>188</v>
      </c>
      <c r="D139" t="s">
        <v>78</v>
      </c>
      <c r="E139">
        <v>2006</v>
      </c>
      <c r="F139" t="s">
        <v>189</v>
      </c>
      <c r="G139" t="s">
        <v>335</v>
      </c>
      <c r="H139" t="s">
        <v>335</v>
      </c>
      <c r="I139" t="s">
        <v>335</v>
      </c>
      <c r="J139" t="s">
        <v>339</v>
      </c>
      <c r="K139" t="s">
        <v>335</v>
      </c>
      <c r="L139" t="s">
        <v>335</v>
      </c>
      <c r="M139" t="s">
        <v>352</v>
      </c>
      <c r="N139" t="s">
        <v>352</v>
      </c>
      <c r="P139" t="s">
        <v>549</v>
      </c>
      <c r="Q139" t="s">
        <v>703</v>
      </c>
      <c r="R139" t="s">
        <v>701</v>
      </c>
      <c r="S139" t="s">
        <v>699</v>
      </c>
      <c r="T139" t="s">
        <v>1235</v>
      </c>
      <c r="U139" t="s">
        <v>1239</v>
      </c>
      <c r="V139">
        <v>52.09</v>
      </c>
      <c r="W139">
        <v>17.309999999999999</v>
      </c>
      <c r="X139">
        <v>77</v>
      </c>
      <c r="Y139" t="s">
        <v>700</v>
      </c>
      <c r="AA139" t="s">
        <v>1236</v>
      </c>
      <c r="AB139" t="s">
        <v>363</v>
      </c>
      <c r="AC139" t="s">
        <v>366</v>
      </c>
      <c r="AD139" t="s">
        <v>1305</v>
      </c>
      <c r="AE139" t="s">
        <v>364</v>
      </c>
      <c r="AF139">
        <v>-0.14899999999999999</v>
      </c>
      <c r="AG139">
        <v>3.6999999999999998E-2</v>
      </c>
      <c r="AH139" t="s">
        <v>346</v>
      </c>
      <c r="AI139" t="s">
        <v>346</v>
      </c>
      <c r="AJ139" t="s">
        <v>592</v>
      </c>
      <c r="AK139">
        <v>74</v>
      </c>
      <c r="AL139" t="s">
        <v>377</v>
      </c>
      <c r="AM139" t="s">
        <v>347</v>
      </c>
      <c r="AN139" t="s">
        <v>410</v>
      </c>
      <c r="AO139" t="s">
        <v>367</v>
      </c>
      <c r="AP139" t="s">
        <v>411</v>
      </c>
      <c r="AQ139" t="s">
        <v>368</v>
      </c>
      <c r="AR139" t="s">
        <v>369</v>
      </c>
      <c r="AS139">
        <v>68</v>
      </c>
      <c r="AT139" t="s">
        <v>349</v>
      </c>
      <c r="AU139" t="s">
        <v>367</v>
      </c>
      <c r="AV139" t="s">
        <v>367</v>
      </c>
      <c r="AW139" t="s">
        <v>367</v>
      </c>
      <c r="AX139" t="s">
        <v>367</v>
      </c>
      <c r="AY139" t="s">
        <v>367</v>
      </c>
      <c r="AZ139" t="s">
        <v>367</v>
      </c>
      <c r="BA139" t="s">
        <v>367</v>
      </c>
      <c r="BB139" t="s">
        <v>367</v>
      </c>
      <c r="BC139">
        <v>5.5</v>
      </c>
    </row>
    <row r="140" spans="1:55" ht="15" customHeight="1" x14ac:dyDescent="0.35">
      <c r="A140" t="s">
        <v>995</v>
      </c>
      <c r="B140" t="s">
        <v>1605</v>
      </c>
      <c r="C140" t="s">
        <v>190</v>
      </c>
      <c r="D140" t="s">
        <v>191</v>
      </c>
      <c r="E140">
        <v>2007</v>
      </c>
      <c r="F140" t="s">
        <v>192</v>
      </c>
      <c r="G140" t="s">
        <v>335</v>
      </c>
      <c r="H140" t="s">
        <v>335</v>
      </c>
      <c r="I140" t="s">
        <v>335</v>
      </c>
      <c r="J140" t="s">
        <v>339</v>
      </c>
      <c r="K140" t="s">
        <v>335</v>
      </c>
      <c r="L140" t="s">
        <v>335</v>
      </c>
      <c r="M140" t="s">
        <v>352</v>
      </c>
      <c r="N140" t="s">
        <v>335</v>
      </c>
      <c r="P140" t="s">
        <v>549</v>
      </c>
      <c r="Q140" t="s">
        <v>703</v>
      </c>
      <c r="R140" t="s">
        <v>701</v>
      </c>
      <c r="S140" t="s">
        <v>699</v>
      </c>
      <c r="T140" t="s">
        <v>1235</v>
      </c>
      <c r="U140" t="s">
        <v>1280</v>
      </c>
      <c r="V140">
        <v>52.32</v>
      </c>
      <c r="W140">
        <v>34.049999999999997</v>
      </c>
      <c r="X140">
        <v>200</v>
      </c>
      <c r="Y140" t="s">
        <v>705</v>
      </c>
      <c r="Z140" t="s">
        <v>704</v>
      </c>
      <c r="AA140" t="s">
        <v>1236</v>
      </c>
      <c r="AB140" t="s">
        <v>514</v>
      </c>
      <c r="AC140" t="s">
        <v>366</v>
      </c>
      <c r="AD140" t="s">
        <v>1041</v>
      </c>
      <c r="AE140" t="s">
        <v>364</v>
      </c>
      <c r="AF140" t="s">
        <v>346</v>
      </c>
      <c r="AG140" t="s">
        <v>346</v>
      </c>
      <c r="AH140" t="s">
        <v>346</v>
      </c>
      <c r="AI140" t="s">
        <v>346</v>
      </c>
      <c r="AJ140" t="s">
        <v>339</v>
      </c>
      <c r="AK140">
        <v>64</v>
      </c>
      <c r="AL140" t="s">
        <v>377</v>
      </c>
      <c r="AM140" t="s">
        <v>347</v>
      </c>
      <c r="AN140" t="s">
        <v>410</v>
      </c>
      <c r="AO140" t="s">
        <v>367</v>
      </c>
      <c r="AP140" t="s">
        <v>411</v>
      </c>
      <c r="AQ140" t="s">
        <v>368</v>
      </c>
      <c r="AR140" t="s">
        <v>369</v>
      </c>
      <c r="AS140">
        <v>68</v>
      </c>
      <c r="AT140" t="s">
        <v>349</v>
      </c>
      <c r="AU140" t="s">
        <v>367</v>
      </c>
      <c r="AV140" t="s">
        <v>367</v>
      </c>
      <c r="AW140" t="s">
        <v>367</v>
      </c>
      <c r="AX140" t="s">
        <v>367</v>
      </c>
      <c r="AY140" t="s">
        <v>367</v>
      </c>
      <c r="AZ140" t="s">
        <v>367</v>
      </c>
      <c r="BA140" t="s">
        <v>367</v>
      </c>
      <c r="BB140" t="s">
        <v>367</v>
      </c>
      <c r="BC140">
        <v>5.5</v>
      </c>
    </row>
    <row r="141" spans="1:55" ht="15" customHeight="1" x14ac:dyDescent="0.35">
      <c r="A141" t="s">
        <v>995</v>
      </c>
      <c r="B141" t="s">
        <v>1606</v>
      </c>
      <c r="C141" t="s">
        <v>193</v>
      </c>
      <c r="D141" t="s">
        <v>194</v>
      </c>
      <c r="E141">
        <v>2016</v>
      </c>
      <c r="F141" t="s">
        <v>195</v>
      </c>
      <c r="G141" t="s">
        <v>335</v>
      </c>
      <c r="H141" t="s">
        <v>335</v>
      </c>
      <c r="I141" t="s">
        <v>335</v>
      </c>
      <c r="J141" t="s">
        <v>339</v>
      </c>
      <c r="K141" t="s">
        <v>335</v>
      </c>
      <c r="L141" t="s">
        <v>335</v>
      </c>
      <c r="M141" t="s">
        <v>352</v>
      </c>
      <c r="N141" t="s">
        <v>335</v>
      </c>
      <c r="P141" t="s">
        <v>357</v>
      </c>
      <c r="Q141" t="s">
        <v>358</v>
      </c>
      <c r="R141" t="s">
        <v>552</v>
      </c>
      <c r="S141" t="s">
        <v>553</v>
      </c>
      <c r="T141" t="s">
        <v>1266</v>
      </c>
      <c r="U141" t="s">
        <v>524</v>
      </c>
      <c r="V141">
        <v>48.12</v>
      </c>
      <c r="W141">
        <v>16.22</v>
      </c>
      <c r="X141">
        <v>325</v>
      </c>
      <c r="Y141" t="s">
        <v>706</v>
      </c>
      <c r="AA141" t="s">
        <v>393</v>
      </c>
      <c r="AB141" t="s">
        <v>393</v>
      </c>
      <c r="AC141" t="s">
        <v>1241</v>
      </c>
      <c r="AD141" t="s">
        <v>1314</v>
      </c>
      <c r="AE141" t="s">
        <v>364</v>
      </c>
      <c r="AF141" t="s">
        <v>346</v>
      </c>
      <c r="AG141" t="s">
        <v>346</v>
      </c>
      <c r="AH141" t="s">
        <v>346</v>
      </c>
      <c r="AI141" t="s">
        <v>346</v>
      </c>
      <c r="AJ141" t="s">
        <v>339</v>
      </c>
      <c r="AK141">
        <v>56</v>
      </c>
      <c r="AL141" t="s">
        <v>377</v>
      </c>
      <c r="AM141" t="s">
        <v>347</v>
      </c>
      <c r="AN141" t="s">
        <v>410</v>
      </c>
      <c r="AO141" t="s">
        <v>367</v>
      </c>
      <c r="AP141" t="s">
        <v>411</v>
      </c>
      <c r="AQ141" t="s">
        <v>368</v>
      </c>
      <c r="AR141" t="s">
        <v>369</v>
      </c>
      <c r="AS141">
        <v>225</v>
      </c>
      <c r="AT141" t="s">
        <v>349</v>
      </c>
      <c r="AU141" t="s">
        <v>367</v>
      </c>
      <c r="AV141" t="s">
        <v>367</v>
      </c>
      <c r="AW141" t="s">
        <v>349</v>
      </c>
      <c r="AX141" t="s">
        <v>367</v>
      </c>
      <c r="AY141" t="s">
        <v>349</v>
      </c>
      <c r="AZ141" t="s">
        <v>349</v>
      </c>
      <c r="BA141" t="s">
        <v>367</v>
      </c>
      <c r="BB141" t="s">
        <v>367</v>
      </c>
      <c r="BC141">
        <v>4.5</v>
      </c>
    </row>
    <row r="142" spans="1:55" ht="15" customHeight="1" x14ac:dyDescent="0.35">
      <c r="A142" t="s">
        <v>995</v>
      </c>
      <c r="B142" t="s">
        <v>1607</v>
      </c>
      <c r="C142" t="s">
        <v>196</v>
      </c>
      <c r="D142" t="s">
        <v>197</v>
      </c>
      <c r="E142">
        <v>2018</v>
      </c>
      <c r="F142" t="s">
        <v>198</v>
      </c>
      <c r="G142" t="s">
        <v>335</v>
      </c>
      <c r="H142" t="s">
        <v>335</v>
      </c>
      <c r="I142" t="s">
        <v>335</v>
      </c>
      <c r="J142" t="s">
        <v>339</v>
      </c>
      <c r="K142" t="s">
        <v>335</v>
      </c>
      <c r="L142" t="s">
        <v>335</v>
      </c>
      <c r="M142" t="s">
        <v>352</v>
      </c>
      <c r="N142" t="s">
        <v>335</v>
      </c>
      <c r="P142" t="s">
        <v>357</v>
      </c>
      <c r="Q142" t="s">
        <v>358</v>
      </c>
      <c r="R142" t="s">
        <v>359</v>
      </c>
      <c r="S142" t="s">
        <v>360</v>
      </c>
      <c r="T142" t="s">
        <v>348</v>
      </c>
      <c r="U142" t="s">
        <v>361</v>
      </c>
      <c r="V142">
        <v>62.816667000000002</v>
      </c>
      <c r="W142">
        <v>-92.083332999999996</v>
      </c>
      <c r="X142">
        <v>32</v>
      </c>
      <c r="Y142" t="s">
        <v>710</v>
      </c>
      <c r="Z142" t="s">
        <v>1238</v>
      </c>
      <c r="AA142" t="s">
        <v>1236</v>
      </c>
      <c r="AB142" t="s">
        <v>363</v>
      </c>
      <c r="AC142" t="s">
        <v>366</v>
      </c>
      <c r="AD142" t="s">
        <v>1301</v>
      </c>
      <c r="AE142" t="s">
        <v>364</v>
      </c>
      <c r="AF142" t="s">
        <v>346</v>
      </c>
      <c r="AG142" t="s">
        <v>346</v>
      </c>
      <c r="AH142" t="s">
        <v>346</v>
      </c>
      <c r="AI142" t="s">
        <v>346</v>
      </c>
      <c r="AJ142" t="s">
        <v>339</v>
      </c>
      <c r="AK142" t="s">
        <v>346</v>
      </c>
      <c r="AL142" t="s">
        <v>339</v>
      </c>
      <c r="AM142" t="s">
        <v>366</v>
      </c>
      <c r="AN142" t="s">
        <v>348</v>
      </c>
      <c r="AO142" t="s">
        <v>367</v>
      </c>
      <c r="AP142" t="s">
        <v>350</v>
      </c>
      <c r="AQ142" t="s">
        <v>368</v>
      </c>
      <c r="AR142" t="s">
        <v>369</v>
      </c>
      <c r="AS142">
        <v>1005</v>
      </c>
      <c r="AT142" t="s">
        <v>349</v>
      </c>
      <c r="AU142" t="s">
        <v>367</v>
      </c>
      <c r="AV142" t="s">
        <v>367</v>
      </c>
      <c r="AW142" t="s">
        <v>349</v>
      </c>
      <c r="AX142" t="s">
        <v>349</v>
      </c>
      <c r="AY142" t="s">
        <v>367</v>
      </c>
      <c r="AZ142" t="s">
        <v>349</v>
      </c>
      <c r="BA142" t="s">
        <v>349</v>
      </c>
      <c r="BB142" t="s">
        <v>367</v>
      </c>
      <c r="BC142">
        <v>3.5</v>
      </c>
    </row>
    <row r="143" spans="1:55" ht="15" customHeight="1" x14ac:dyDescent="0.35">
      <c r="A143" t="s">
        <v>995</v>
      </c>
      <c r="B143" t="s">
        <v>1608</v>
      </c>
      <c r="C143" t="s">
        <v>199</v>
      </c>
      <c r="D143" t="s">
        <v>200</v>
      </c>
      <c r="E143">
        <v>2017</v>
      </c>
      <c r="F143" t="s">
        <v>201</v>
      </c>
      <c r="G143" t="s">
        <v>335</v>
      </c>
      <c r="H143" t="s">
        <v>335</v>
      </c>
      <c r="I143" t="s">
        <v>335</v>
      </c>
      <c r="J143" t="s">
        <v>339</v>
      </c>
      <c r="K143" t="s">
        <v>335</v>
      </c>
      <c r="L143" t="s">
        <v>335</v>
      </c>
      <c r="M143" t="s">
        <v>352</v>
      </c>
      <c r="N143" t="s">
        <v>335</v>
      </c>
      <c r="P143" t="s">
        <v>480</v>
      </c>
      <c r="Q143" t="s">
        <v>714</v>
      </c>
      <c r="R143" t="s">
        <v>715</v>
      </c>
      <c r="S143" t="s">
        <v>711</v>
      </c>
      <c r="T143" t="s">
        <v>1235</v>
      </c>
      <c r="U143" t="s">
        <v>1239</v>
      </c>
      <c r="V143">
        <v>45.287424000000001</v>
      </c>
      <c r="W143">
        <v>-72.615491000000006</v>
      </c>
      <c r="X143">
        <v>225</v>
      </c>
      <c r="Y143" t="s">
        <v>713</v>
      </c>
      <c r="AA143" t="s">
        <v>1247</v>
      </c>
      <c r="AB143" t="s">
        <v>400</v>
      </c>
      <c r="AC143" t="s">
        <v>366</v>
      </c>
      <c r="AD143" t="s">
        <v>712</v>
      </c>
      <c r="AE143" t="s">
        <v>364</v>
      </c>
      <c r="AF143">
        <v>-0.01</v>
      </c>
      <c r="AG143" t="s">
        <v>346</v>
      </c>
      <c r="AH143">
        <v>-0.01</v>
      </c>
      <c r="AI143">
        <v>-8.0000000000000007E-5</v>
      </c>
      <c r="AJ143" t="s">
        <v>592</v>
      </c>
      <c r="AK143">
        <v>190</v>
      </c>
      <c r="AL143" t="s">
        <v>377</v>
      </c>
      <c r="AM143" t="s">
        <v>347</v>
      </c>
      <c r="AN143" t="s">
        <v>348</v>
      </c>
      <c r="AO143" t="s">
        <v>349</v>
      </c>
      <c r="AP143" t="s">
        <v>355</v>
      </c>
      <c r="AQ143" t="s">
        <v>351</v>
      </c>
      <c r="AR143" t="s">
        <v>356</v>
      </c>
      <c r="AS143">
        <v>6800</v>
      </c>
      <c r="AT143" t="s">
        <v>349</v>
      </c>
      <c r="AU143" t="s">
        <v>349</v>
      </c>
      <c r="AV143" t="s">
        <v>367</v>
      </c>
      <c r="AW143" t="s">
        <v>367</v>
      </c>
      <c r="AX143" t="s">
        <v>367</v>
      </c>
      <c r="AY143" t="s">
        <v>367</v>
      </c>
      <c r="AZ143" t="s">
        <v>367</v>
      </c>
      <c r="BA143" t="s">
        <v>367</v>
      </c>
      <c r="BB143" t="s">
        <v>367</v>
      </c>
      <c r="BC143">
        <v>11</v>
      </c>
    </row>
    <row r="144" spans="1:55" ht="15" customHeight="1" x14ac:dyDescent="0.35">
      <c r="A144" t="s">
        <v>995</v>
      </c>
      <c r="B144" t="s">
        <v>1609</v>
      </c>
      <c r="C144" t="s">
        <v>202</v>
      </c>
      <c r="D144" t="s">
        <v>18</v>
      </c>
      <c r="E144">
        <v>2018</v>
      </c>
      <c r="F144" t="s">
        <v>203</v>
      </c>
      <c r="G144" t="s">
        <v>335</v>
      </c>
      <c r="H144" t="s">
        <v>335</v>
      </c>
      <c r="I144" t="s">
        <v>335</v>
      </c>
      <c r="J144" t="s">
        <v>339</v>
      </c>
      <c r="K144" t="s">
        <v>335</v>
      </c>
      <c r="L144" t="s">
        <v>335</v>
      </c>
      <c r="M144" t="s">
        <v>352</v>
      </c>
      <c r="N144" t="s">
        <v>335</v>
      </c>
      <c r="P144" t="s">
        <v>718</v>
      </c>
      <c r="Q144" t="s">
        <v>719</v>
      </c>
      <c r="R144" t="s">
        <v>720</v>
      </c>
      <c r="S144" t="s">
        <v>716</v>
      </c>
      <c r="T144" t="s">
        <v>348</v>
      </c>
      <c r="U144" t="s">
        <v>344</v>
      </c>
      <c r="V144">
        <v>50.62</v>
      </c>
      <c r="W144">
        <v>-120.33</v>
      </c>
      <c r="X144">
        <v>808</v>
      </c>
      <c r="Y144" t="s">
        <v>635</v>
      </c>
      <c r="Z144" t="s">
        <v>717</v>
      </c>
      <c r="AA144" t="s">
        <v>1236</v>
      </c>
      <c r="AB144" t="s">
        <v>514</v>
      </c>
      <c r="AC144" t="s">
        <v>366</v>
      </c>
      <c r="AD144" t="s">
        <v>1041</v>
      </c>
      <c r="AE144" t="s">
        <v>354</v>
      </c>
      <c r="AF144" t="s">
        <v>346</v>
      </c>
      <c r="AG144" t="s">
        <v>346</v>
      </c>
      <c r="AH144" t="s">
        <v>346</v>
      </c>
      <c r="AI144" t="s">
        <v>346</v>
      </c>
      <c r="AJ144" t="s">
        <v>339</v>
      </c>
      <c r="AK144">
        <v>101</v>
      </c>
      <c r="AL144" t="s">
        <v>377</v>
      </c>
      <c r="AM144" t="s">
        <v>339</v>
      </c>
      <c r="AN144" t="s">
        <v>410</v>
      </c>
      <c r="AO144" t="s">
        <v>367</v>
      </c>
      <c r="AP144" t="s">
        <v>411</v>
      </c>
      <c r="AQ144" t="s">
        <v>368</v>
      </c>
      <c r="AR144" t="s">
        <v>369</v>
      </c>
      <c r="AS144">
        <v>30</v>
      </c>
      <c r="AT144" t="s">
        <v>349</v>
      </c>
      <c r="AU144" t="s">
        <v>367</v>
      </c>
      <c r="AV144" t="s">
        <v>367</v>
      </c>
      <c r="AW144" t="s">
        <v>367</v>
      </c>
      <c r="AX144" t="s">
        <v>367</v>
      </c>
      <c r="AY144" t="s">
        <v>367</v>
      </c>
      <c r="AZ144" t="s">
        <v>367</v>
      </c>
      <c r="BA144" t="s">
        <v>367</v>
      </c>
      <c r="BB144" t="s">
        <v>367</v>
      </c>
      <c r="BC144">
        <v>5.5</v>
      </c>
    </row>
    <row r="145" spans="1:55" ht="15" customHeight="1" x14ac:dyDescent="0.35">
      <c r="A145" t="s">
        <v>995</v>
      </c>
      <c r="B145" t="s">
        <v>1610</v>
      </c>
      <c r="C145" t="s">
        <v>204</v>
      </c>
      <c r="D145" t="s">
        <v>37</v>
      </c>
      <c r="E145">
        <v>1996</v>
      </c>
      <c r="F145" t="s">
        <v>205</v>
      </c>
      <c r="G145" t="s">
        <v>335</v>
      </c>
      <c r="H145" t="s">
        <v>335</v>
      </c>
      <c r="I145" t="s">
        <v>335</v>
      </c>
      <c r="J145" t="s">
        <v>339</v>
      </c>
      <c r="K145" t="s">
        <v>335</v>
      </c>
      <c r="L145" t="s">
        <v>335</v>
      </c>
      <c r="M145" t="s">
        <v>352</v>
      </c>
      <c r="N145" t="s">
        <v>335</v>
      </c>
      <c r="P145" t="s">
        <v>494</v>
      </c>
      <c r="Q145" t="s">
        <v>723</v>
      </c>
      <c r="R145" t="s">
        <v>724</v>
      </c>
      <c r="S145" t="s">
        <v>725</v>
      </c>
      <c r="T145" t="s">
        <v>1235</v>
      </c>
      <c r="U145" t="s">
        <v>665</v>
      </c>
      <c r="V145">
        <v>8.34</v>
      </c>
      <c r="W145">
        <v>-67.349999999999994</v>
      </c>
      <c r="X145">
        <v>60</v>
      </c>
      <c r="Y145" t="s">
        <v>721</v>
      </c>
      <c r="Z145" t="s">
        <v>1315</v>
      </c>
      <c r="AA145" t="s">
        <v>393</v>
      </c>
      <c r="AB145" t="s">
        <v>393</v>
      </c>
      <c r="AC145" t="s">
        <v>366</v>
      </c>
      <c r="AD145" t="s">
        <v>722</v>
      </c>
      <c r="AE145" t="s">
        <v>345</v>
      </c>
      <c r="AF145" t="s">
        <v>346</v>
      </c>
      <c r="AG145" t="s">
        <v>346</v>
      </c>
      <c r="AH145" t="s">
        <v>346</v>
      </c>
      <c r="AI145" t="s">
        <v>346</v>
      </c>
      <c r="AJ145" t="s">
        <v>339</v>
      </c>
      <c r="AK145">
        <v>44</v>
      </c>
      <c r="AL145" t="s">
        <v>377</v>
      </c>
      <c r="AM145" t="s">
        <v>347</v>
      </c>
      <c r="AN145" t="s">
        <v>410</v>
      </c>
      <c r="AO145" t="s">
        <v>367</v>
      </c>
      <c r="AP145" t="s">
        <v>768</v>
      </c>
      <c r="AQ145" t="s">
        <v>368</v>
      </c>
      <c r="AR145" t="s">
        <v>369</v>
      </c>
      <c r="AS145">
        <v>25</v>
      </c>
      <c r="AT145" t="s">
        <v>349</v>
      </c>
      <c r="AU145" t="s">
        <v>367</v>
      </c>
      <c r="AV145" t="s">
        <v>367</v>
      </c>
      <c r="AW145" t="s">
        <v>367</v>
      </c>
      <c r="AX145" t="s">
        <v>367</v>
      </c>
      <c r="AY145" t="s">
        <v>367</v>
      </c>
      <c r="AZ145" t="s">
        <v>367</v>
      </c>
      <c r="BA145" t="s">
        <v>367</v>
      </c>
      <c r="BB145" t="s">
        <v>367</v>
      </c>
      <c r="BC145">
        <v>3</v>
      </c>
    </row>
    <row r="146" spans="1:55" ht="15" customHeight="1" x14ac:dyDescent="0.35">
      <c r="A146" t="s">
        <v>1065</v>
      </c>
      <c r="B146" t="s">
        <v>1611</v>
      </c>
      <c r="C146" t="s">
        <v>1099</v>
      </c>
      <c r="D146" t="s">
        <v>47</v>
      </c>
      <c r="E146">
        <v>2010</v>
      </c>
      <c r="G146" t="s">
        <v>335</v>
      </c>
      <c r="H146" t="s">
        <v>335</v>
      </c>
      <c r="I146" t="s">
        <v>335</v>
      </c>
      <c r="J146" t="s">
        <v>339</v>
      </c>
      <c r="K146" t="s">
        <v>335</v>
      </c>
      <c r="L146" t="s">
        <v>335</v>
      </c>
      <c r="M146" t="s">
        <v>352</v>
      </c>
      <c r="N146" t="s">
        <v>352</v>
      </c>
      <c r="P146" t="s">
        <v>1146</v>
      </c>
      <c r="Q146" t="s">
        <v>1147</v>
      </c>
      <c r="R146" t="s">
        <v>1148</v>
      </c>
      <c r="S146" t="s">
        <v>1144</v>
      </c>
      <c r="T146" t="s">
        <v>1249</v>
      </c>
      <c r="U146" t="s">
        <v>422</v>
      </c>
      <c r="V146">
        <v>17.729956000000001</v>
      </c>
      <c r="W146">
        <v>-64.764596999999995</v>
      </c>
      <c r="X146">
        <v>50</v>
      </c>
      <c r="Y146" t="s">
        <v>1145</v>
      </c>
      <c r="AA146" t="s">
        <v>1247</v>
      </c>
      <c r="AB146" t="s">
        <v>400</v>
      </c>
      <c r="AC146" t="s">
        <v>366</v>
      </c>
      <c r="AD146" t="s">
        <v>433</v>
      </c>
      <c r="AE146" t="s">
        <v>364</v>
      </c>
      <c r="AF146">
        <v>-1.458</v>
      </c>
      <c r="AG146">
        <v>0.47399999999999998</v>
      </c>
      <c r="AH146" t="s">
        <v>346</v>
      </c>
      <c r="AI146" t="s">
        <v>346</v>
      </c>
      <c r="AJ146" t="s">
        <v>592</v>
      </c>
      <c r="AK146">
        <v>4640</v>
      </c>
      <c r="AL146" t="s">
        <v>377</v>
      </c>
      <c r="AM146" t="s">
        <v>366</v>
      </c>
      <c r="AN146" t="s">
        <v>348</v>
      </c>
      <c r="AO146" t="s">
        <v>349</v>
      </c>
      <c r="AP146" t="s">
        <v>355</v>
      </c>
      <c r="AQ146" t="s">
        <v>351</v>
      </c>
      <c r="AR146" t="s">
        <v>369</v>
      </c>
      <c r="AS146">
        <v>46</v>
      </c>
      <c r="AT146" t="s">
        <v>349</v>
      </c>
      <c r="AU146" t="s">
        <v>367</v>
      </c>
      <c r="AV146" t="s">
        <v>367</v>
      </c>
      <c r="AW146" t="s">
        <v>367</v>
      </c>
      <c r="AX146" t="s">
        <v>349</v>
      </c>
      <c r="AY146" t="s">
        <v>367</v>
      </c>
      <c r="AZ146" t="s">
        <v>367</v>
      </c>
      <c r="BA146" t="s">
        <v>367</v>
      </c>
      <c r="BB146" t="s">
        <v>367</v>
      </c>
      <c r="BC146">
        <v>2</v>
      </c>
    </row>
    <row r="147" spans="1:55" ht="15" customHeight="1" x14ac:dyDescent="0.35">
      <c r="A147" t="s">
        <v>995</v>
      </c>
      <c r="B147" t="s">
        <v>1612</v>
      </c>
      <c r="C147" t="s">
        <v>206</v>
      </c>
      <c r="D147" t="s">
        <v>16</v>
      </c>
      <c r="E147">
        <v>2021</v>
      </c>
      <c r="F147" t="s">
        <v>1054</v>
      </c>
      <c r="G147" t="s">
        <v>335</v>
      </c>
      <c r="H147" t="s">
        <v>335</v>
      </c>
      <c r="I147" t="s">
        <v>335</v>
      </c>
      <c r="J147" t="s">
        <v>339</v>
      </c>
      <c r="K147" t="s">
        <v>335</v>
      </c>
      <c r="L147" t="s">
        <v>335</v>
      </c>
      <c r="M147" t="s">
        <v>352</v>
      </c>
      <c r="N147" t="s">
        <v>352</v>
      </c>
      <c r="P147" t="s">
        <v>480</v>
      </c>
      <c r="Q147" t="s">
        <v>606</v>
      </c>
      <c r="R147" t="s">
        <v>730</v>
      </c>
      <c r="S147" t="s">
        <v>726</v>
      </c>
      <c r="T147" t="s">
        <v>348</v>
      </c>
      <c r="U147" t="s">
        <v>344</v>
      </c>
      <c r="V147">
        <v>36.848953000000002</v>
      </c>
      <c r="W147">
        <v>-96.423458999999994</v>
      </c>
      <c r="X147">
        <v>325</v>
      </c>
      <c r="Y147" t="s">
        <v>727</v>
      </c>
      <c r="Z147" t="s">
        <v>728</v>
      </c>
      <c r="AA147" t="s">
        <v>1247</v>
      </c>
      <c r="AB147" t="s">
        <v>400</v>
      </c>
      <c r="AC147" t="s">
        <v>366</v>
      </c>
      <c r="AD147" t="s">
        <v>1288</v>
      </c>
      <c r="AE147" t="s">
        <v>364</v>
      </c>
      <c r="AF147">
        <v>-0.98</v>
      </c>
      <c r="AG147">
        <v>0.39</v>
      </c>
      <c r="AH147" t="s">
        <v>346</v>
      </c>
      <c r="AI147" t="s">
        <v>346</v>
      </c>
      <c r="AJ147" t="s">
        <v>592</v>
      </c>
      <c r="AK147">
        <v>156</v>
      </c>
      <c r="AL147" t="s">
        <v>377</v>
      </c>
      <c r="AM147" t="s">
        <v>452</v>
      </c>
      <c r="AN147" t="s">
        <v>348</v>
      </c>
      <c r="AO147" t="s">
        <v>349</v>
      </c>
      <c r="AP147" t="s">
        <v>492</v>
      </c>
      <c r="AQ147" t="s">
        <v>351</v>
      </c>
      <c r="AR147" t="s">
        <v>356</v>
      </c>
      <c r="AS147">
        <v>860</v>
      </c>
      <c r="AT147" t="s">
        <v>349</v>
      </c>
      <c r="AU147" t="s">
        <v>349</v>
      </c>
      <c r="AV147" t="s">
        <v>367</v>
      </c>
      <c r="AW147" t="s">
        <v>367</v>
      </c>
      <c r="AX147" t="s">
        <v>367</v>
      </c>
      <c r="AY147" t="s">
        <v>367</v>
      </c>
      <c r="AZ147" t="s">
        <v>367</v>
      </c>
      <c r="BA147" t="s">
        <v>367</v>
      </c>
      <c r="BB147" t="s">
        <v>367</v>
      </c>
      <c r="BC147">
        <v>12</v>
      </c>
    </row>
    <row r="148" spans="1:55" ht="15" customHeight="1" x14ac:dyDescent="0.35">
      <c r="A148" t="s">
        <v>995</v>
      </c>
      <c r="B148" t="s">
        <v>1612</v>
      </c>
      <c r="C148" t="s">
        <v>206</v>
      </c>
      <c r="D148" t="s">
        <v>16</v>
      </c>
      <c r="E148">
        <v>2021</v>
      </c>
      <c r="F148" t="s">
        <v>1054</v>
      </c>
      <c r="G148" t="s">
        <v>335</v>
      </c>
      <c r="H148" t="s">
        <v>335</v>
      </c>
      <c r="I148" t="s">
        <v>335</v>
      </c>
      <c r="J148" t="s">
        <v>339</v>
      </c>
      <c r="K148" t="s">
        <v>335</v>
      </c>
      <c r="L148" t="s">
        <v>335</v>
      </c>
      <c r="M148" t="s">
        <v>352</v>
      </c>
      <c r="N148" t="s">
        <v>352</v>
      </c>
      <c r="P148" t="s">
        <v>480</v>
      </c>
      <c r="Q148" t="s">
        <v>606</v>
      </c>
      <c r="R148" t="s">
        <v>730</v>
      </c>
      <c r="S148" t="s">
        <v>726</v>
      </c>
      <c r="T148" t="s">
        <v>348</v>
      </c>
      <c r="U148" t="s">
        <v>344</v>
      </c>
      <c r="V148">
        <v>36.848953000000002</v>
      </c>
      <c r="W148">
        <v>-96.423458999999994</v>
      </c>
      <c r="X148">
        <v>325</v>
      </c>
      <c r="Y148" t="s">
        <v>727</v>
      </c>
      <c r="Z148" t="s">
        <v>729</v>
      </c>
      <c r="AA148" t="s">
        <v>1247</v>
      </c>
      <c r="AB148" t="s">
        <v>400</v>
      </c>
      <c r="AC148" t="s">
        <v>1237</v>
      </c>
      <c r="AD148" t="s">
        <v>1316</v>
      </c>
      <c r="AE148" t="s">
        <v>364</v>
      </c>
      <c r="AF148">
        <v>-1.39</v>
      </c>
      <c r="AG148">
        <v>0.57999999999999996</v>
      </c>
      <c r="AH148" t="s">
        <v>346</v>
      </c>
      <c r="AI148" t="s">
        <v>346</v>
      </c>
      <c r="AJ148" t="s">
        <v>592</v>
      </c>
      <c r="AK148">
        <v>157</v>
      </c>
      <c r="AL148" t="s">
        <v>377</v>
      </c>
      <c r="AM148" t="s">
        <v>452</v>
      </c>
      <c r="AN148" t="s">
        <v>348</v>
      </c>
      <c r="AO148" t="s">
        <v>349</v>
      </c>
      <c r="AP148" t="s">
        <v>492</v>
      </c>
      <c r="AQ148" t="s">
        <v>351</v>
      </c>
      <c r="AR148" t="s">
        <v>356</v>
      </c>
      <c r="AS148">
        <v>860</v>
      </c>
      <c r="AT148" t="s">
        <v>349</v>
      </c>
      <c r="AU148" t="s">
        <v>349</v>
      </c>
      <c r="AV148" t="s">
        <v>367</v>
      </c>
      <c r="AW148" t="s">
        <v>367</v>
      </c>
      <c r="AX148" t="s">
        <v>367</v>
      </c>
      <c r="AY148" t="s">
        <v>367</v>
      </c>
      <c r="AZ148" t="s">
        <v>367</v>
      </c>
      <c r="BA148" t="s">
        <v>367</v>
      </c>
      <c r="BB148" t="s">
        <v>367</v>
      </c>
      <c r="BC148">
        <v>12</v>
      </c>
    </row>
    <row r="149" spans="1:55" ht="15" customHeight="1" x14ac:dyDescent="0.35">
      <c r="A149" t="s">
        <v>1065</v>
      </c>
      <c r="B149" t="s">
        <v>1613</v>
      </c>
      <c r="C149" t="s">
        <v>1073</v>
      </c>
      <c r="D149" t="s">
        <v>49</v>
      </c>
      <c r="E149">
        <v>2020</v>
      </c>
      <c r="F149" t="s">
        <v>1074</v>
      </c>
      <c r="G149" t="s">
        <v>335</v>
      </c>
      <c r="H149" t="s">
        <v>335</v>
      </c>
      <c r="I149" t="s">
        <v>335</v>
      </c>
      <c r="J149" t="s">
        <v>339</v>
      </c>
      <c r="K149" t="s">
        <v>335</v>
      </c>
      <c r="L149" t="s">
        <v>335</v>
      </c>
      <c r="M149" t="s">
        <v>352</v>
      </c>
      <c r="N149" t="s">
        <v>352</v>
      </c>
      <c r="P149" t="s">
        <v>518</v>
      </c>
      <c r="Q149" t="s">
        <v>519</v>
      </c>
      <c r="R149" t="s">
        <v>520</v>
      </c>
      <c r="S149" t="s">
        <v>516</v>
      </c>
      <c r="T149" t="s">
        <v>1235</v>
      </c>
      <c r="U149" t="s">
        <v>1239</v>
      </c>
      <c r="V149">
        <v>47.58</v>
      </c>
      <c r="W149">
        <v>11.14</v>
      </c>
      <c r="X149">
        <v>880</v>
      </c>
      <c r="Y149" t="s">
        <v>1076</v>
      </c>
      <c r="AA149" t="s">
        <v>1236</v>
      </c>
      <c r="AB149" t="s">
        <v>514</v>
      </c>
      <c r="AC149" t="s">
        <v>366</v>
      </c>
      <c r="AD149" t="s">
        <v>1075</v>
      </c>
      <c r="AE149" t="s">
        <v>364</v>
      </c>
      <c r="AF149">
        <v>-0.6</v>
      </c>
      <c r="AG149" t="s">
        <v>346</v>
      </c>
      <c r="AH149">
        <v>-0.9</v>
      </c>
      <c r="AI149">
        <v>-0.3</v>
      </c>
      <c r="AJ149" t="s">
        <v>592</v>
      </c>
      <c r="AK149">
        <v>1661</v>
      </c>
      <c r="AL149" t="s">
        <v>529</v>
      </c>
      <c r="AM149" t="s">
        <v>366</v>
      </c>
      <c r="AN149" t="s">
        <v>410</v>
      </c>
      <c r="AO149" t="s">
        <v>367</v>
      </c>
      <c r="AP149" t="s">
        <v>411</v>
      </c>
      <c r="AQ149" t="s">
        <v>368</v>
      </c>
      <c r="AR149" t="s">
        <v>369</v>
      </c>
      <c r="AS149">
        <v>17</v>
      </c>
      <c r="AT149" t="s">
        <v>349</v>
      </c>
      <c r="AU149" t="s">
        <v>367</v>
      </c>
      <c r="AV149" t="s">
        <v>367</v>
      </c>
      <c r="AW149" t="s">
        <v>367</v>
      </c>
      <c r="AX149" t="s">
        <v>367</v>
      </c>
      <c r="AY149" t="s">
        <v>367</v>
      </c>
      <c r="AZ149" t="s">
        <v>367</v>
      </c>
      <c r="BA149" t="s">
        <v>367</v>
      </c>
      <c r="BB149" t="s">
        <v>367</v>
      </c>
      <c r="BC149">
        <v>8.5</v>
      </c>
    </row>
    <row r="150" spans="1:55" ht="15" customHeight="1" x14ac:dyDescent="0.35">
      <c r="A150" t="s">
        <v>995</v>
      </c>
      <c r="B150" t="s">
        <v>1614</v>
      </c>
      <c r="C150" t="s">
        <v>207</v>
      </c>
      <c r="D150" t="s">
        <v>182</v>
      </c>
      <c r="E150">
        <v>2006</v>
      </c>
      <c r="F150" t="s">
        <v>208</v>
      </c>
      <c r="G150" t="s">
        <v>335</v>
      </c>
      <c r="H150" t="s">
        <v>335</v>
      </c>
      <c r="I150" t="s">
        <v>335</v>
      </c>
      <c r="J150" t="s">
        <v>339</v>
      </c>
      <c r="K150" t="s">
        <v>335</v>
      </c>
      <c r="L150" t="s">
        <v>335</v>
      </c>
      <c r="M150" t="s">
        <v>352</v>
      </c>
      <c r="N150" t="s">
        <v>352</v>
      </c>
      <c r="P150" t="s">
        <v>395</v>
      </c>
      <c r="Q150" t="s">
        <v>575</v>
      </c>
      <c r="R150" t="s">
        <v>576</v>
      </c>
      <c r="S150" t="s">
        <v>572</v>
      </c>
      <c r="T150" t="s">
        <v>1249</v>
      </c>
      <c r="U150" t="s">
        <v>422</v>
      </c>
      <c r="V150">
        <v>48.633403999999999</v>
      </c>
      <c r="W150">
        <v>-123.287059</v>
      </c>
      <c r="X150">
        <v>13</v>
      </c>
      <c r="Y150" t="s">
        <v>740</v>
      </c>
      <c r="AA150" t="s">
        <v>1236</v>
      </c>
      <c r="AB150" t="s">
        <v>512</v>
      </c>
      <c r="AC150" t="s">
        <v>366</v>
      </c>
      <c r="AD150" t="s">
        <v>741</v>
      </c>
      <c r="AE150" t="s">
        <v>364</v>
      </c>
      <c r="AF150">
        <v>-1.9599999999999999E-2</v>
      </c>
      <c r="AG150">
        <v>3.49E-2</v>
      </c>
      <c r="AH150" t="s">
        <v>346</v>
      </c>
      <c r="AI150" t="s">
        <v>346</v>
      </c>
      <c r="AJ150" t="s">
        <v>592</v>
      </c>
      <c r="AK150">
        <v>650</v>
      </c>
      <c r="AL150" t="s">
        <v>742</v>
      </c>
      <c r="AN150" t="s">
        <v>348</v>
      </c>
      <c r="AO150" t="s">
        <v>367</v>
      </c>
      <c r="AP150" t="s">
        <v>386</v>
      </c>
      <c r="AQ150" t="s">
        <v>368</v>
      </c>
      <c r="AR150" t="s">
        <v>369</v>
      </c>
      <c r="AS150">
        <v>19</v>
      </c>
      <c r="AT150" t="s">
        <v>349</v>
      </c>
      <c r="AU150" t="s">
        <v>349</v>
      </c>
      <c r="AV150" t="s">
        <v>367</v>
      </c>
      <c r="AW150" t="s">
        <v>367</v>
      </c>
      <c r="AX150" t="s">
        <v>367</v>
      </c>
      <c r="AY150" t="s">
        <v>367</v>
      </c>
      <c r="AZ150" t="s">
        <v>367</v>
      </c>
      <c r="BA150" t="s">
        <v>367</v>
      </c>
      <c r="BB150" t="s">
        <v>367</v>
      </c>
      <c r="BC150">
        <v>4</v>
      </c>
    </row>
    <row r="151" spans="1:55" ht="15" customHeight="1" x14ac:dyDescent="0.35">
      <c r="A151" t="s">
        <v>995</v>
      </c>
      <c r="B151" t="s">
        <v>1615</v>
      </c>
      <c r="C151" t="s">
        <v>209</v>
      </c>
      <c r="D151" t="s">
        <v>17</v>
      </c>
      <c r="E151">
        <v>2017</v>
      </c>
      <c r="F151" t="s">
        <v>210</v>
      </c>
      <c r="G151" t="s">
        <v>335</v>
      </c>
      <c r="H151" t="s">
        <v>335</v>
      </c>
      <c r="I151" t="s">
        <v>335</v>
      </c>
      <c r="J151" t="s">
        <v>339</v>
      </c>
      <c r="K151" t="s">
        <v>335</v>
      </c>
      <c r="L151" t="s">
        <v>335</v>
      </c>
      <c r="M151" t="s">
        <v>352</v>
      </c>
      <c r="N151" t="s">
        <v>352</v>
      </c>
      <c r="P151" t="s">
        <v>753</v>
      </c>
      <c r="Q151" t="s">
        <v>746</v>
      </c>
      <c r="R151" t="s">
        <v>747</v>
      </c>
      <c r="S151" t="s">
        <v>744</v>
      </c>
      <c r="T151" t="s">
        <v>348</v>
      </c>
      <c r="U151" t="s">
        <v>344</v>
      </c>
      <c r="V151">
        <v>52</v>
      </c>
      <c r="W151">
        <v>-127</v>
      </c>
      <c r="X151">
        <v>1750</v>
      </c>
      <c r="Y151" t="s">
        <v>743</v>
      </c>
      <c r="Z151" t="s">
        <v>751</v>
      </c>
      <c r="AA151" t="s">
        <v>1247</v>
      </c>
      <c r="AB151" t="s">
        <v>400</v>
      </c>
      <c r="AC151" t="s">
        <v>366</v>
      </c>
      <c r="AD151" t="s">
        <v>1185</v>
      </c>
      <c r="AE151" t="s">
        <v>364</v>
      </c>
      <c r="AF151">
        <v>-3.17</v>
      </c>
      <c r="AG151">
        <v>0.9</v>
      </c>
      <c r="AH151" t="s">
        <v>346</v>
      </c>
      <c r="AI151" t="s">
        <v>346</v>
      </c>
      <c r="AJ151" t="s">
        <v>592</v>
      </c>
      <c r="AK151">
        <v>280</v>
      </c>
      <c r="AL151" t="s">
        <v>377</v>
      </c>
      <c r="AM151" t="s">
        <v>366</v>
      </c>
      <c r="AN151" t="s">
        <v>348</v>
      </c>
      <c r="AO151" t="s">
        <v>349</v>
      </c>
      <c r="AP151" t="s">
        <v>386</v>
      </c>
      <c r="AQ151" t="s">
        <v>368</v>
      </c>
      <c r="AR151" t="s">
        <v>369</v>
      </c>
      <c r="AS151">
        <v>34</v>
      </c>
      <c r="AT151" t="s">
        <v>349</v>
      </c>
      <c r="AU151" t="s">
        <v>349</v>
      </c>
      <c r="AV151" t="s">
        <v>367</v>
      </c>
      <c r="AW151" t="s">
        <v>367</v>
      </c>
      <c r="AX151" t="s">
        <v>367</v>
      </c>
      <c r="AY151" t="s">
        <v>367</v>
      </c>
      <c r="AZ151" t="s">
        <v>367</v>
      </c>
      <c r="BA151" t="s">
        <v>367</v>
      </c>
      <c r="BB151" t="s">
        <v>367</v>
      </c>
      <c r="BC151">
        <v>3</v>
      </c>
    </row>
    <row r="152" spans="1:55" ht="15" customHeight="1" x14ac:dyDescent="0.35">
      <c r="A152" t="s">
        <v>995</v>
      </c>
      <c r="B152" t="s">
        <v>1615</v>
      </c>
      <c r="C152" t="s">
        <v>209</v>
      </c>
      <c r="D152" t="s">
        <v>17</v>
      </c>
      <c r="E152">
        <v>2017</v>
      </c>
      <c r="F152" t="s">
        <v>210</v>
      </c>
      <c r="G152" t="s">
        <v>335</v>
      </c>
      <c r="H152" t="s">
        <v>335</v>
      </c>
      <c r="I152" t="s">
        <v>335</v>
      </c>
      <c r="J152" t="s">
        <v>339</v>
      </c>
      <c r="K152" t="s">
        <v>335</v>
      </c>
      <c r="L152" t="s">
        <v>335</v>
      </c>
      <c r="M152" t="s">
        <v>352</v>
      </c>
      <c r="N152" t="s">
        <v>352</v>
      </c>
      <c r="P152" t="s">
        <v>395</v>
      </c>
      <c r="Q152" t="s">
        <v>748</v>
      </c>
      <c r="R152" t="s">
        <v>749</v>
      </c>
      <c r="S152" t="s">
        <v>745</v>
      </c>
      <c r="T152" t="s">
        <v>348</v>
      </c>
      <c r="U152" t="s">
        <v>344</v>
      </c>
      <c r="V152">
        <v>52</v>
      </c>
      <c r="W152">
        <v>-127</v>
      </c>
      <c r="X152">
        <v>1750</v>
      </c>
      <c r="Y152" t="s">
        <v>750</v>
      </c>
      <c r="AA152" t="s">
        <v>1247</v>
      </c>
      <c r="AB152" t="s">
        <v>400</v>
      </c>
      <c r="AC152" t="s">
        <v>366</v>
      </c>
      <c r="AD152" t="s">
        <v>752</v>
      </c>
      <c r="AE152" t="s">
        <v>364</v>
      </c>
      <c r="AF152">
        <v>-1.6</v>
      </c>
      <c r="AG152">
        <v>0.57999999999999996</v>
      </c>
      <c r="AH152" t="s">
        <v>346</v>
      </c>
      <c r="AI152" t="s">
        <v>346</v>
      </c>
      <c r="AJ152" t="s">
        <v>592</v>
      </c>
      <c r="AK152">
        <v>87</v>
      </c>
      <c r="AL152" t="s">
        <v>377</v>
      </c>
      <c r="AM152" t="s">
        <v>366</v>
      </c>
      <c r="AN152" t="s">
        <v>348</v>
      </c>
      <c r="AO152" t="s">
        <v>349</v>
      </c>
      <c r="AP152" t="s">
        <v>386</v>
      </c>
      <c r="AQ152" t="s">
        <v>368</v>
      </c>
      <c r="AR152" t="s">
        <v>369</v>
      </c>
      <c r="AS152">
        <v>16</v>
      </c>
      <c r="AT152" t="s">
        <v>349</v>
      </c>
      <c r="AU152" t="s">
        <v>349</v>
      </c>
      <c r="AV152" t="s">
        <v>367</v>
      </c>
      <c r="AW152" t="s">
        <v>367</v>
      </c>
      <c r="AX152" t="s">
        <v>367</v>
      </c>
      <c r="AY152" t="s">
        <v>367</v>
      </c>
      <c r="AZ152" t="s">
        <v>367</v>
      </c>
      <c r="BA152" t="s">
        <v>367</v>
      </c>
      <c r="BB152" t="s">
        <v>367</v>
      </c>
      <c r="BC152">
        <v>4</v>
      </c>
    </row>
    <row r="153" spans="1:55" ht="15" customHeight="1" x14ac:dyDescent="0.35">
      <c r="A153" t="s">
        <v>995</v>
      </c>
      <c r="B153" t="s">
        <v>1615</v>
      </c>
      <c r="C153" t="s">
        <v>209</v>
      </c>
      <c r="D153" t="s">
        <v>17</v>
      </c>
      <c r="E153">
        <v>2017</v>
      </c>
      <c r="F153" t="s">
        <v>210</v>
      </c>
      <c r="G153" t="s">
        <v>335</v>
      </c>
      <c r="H153" t="s">
        <v>335</v>
      </c>
      <c r="I153" t="s">
        <v>335</v>
      </c>
      <c r="J153" t="s">
        <v>339</v>
      </c>
      <c r="K153" t="s">
        <v>335</v>
      </c>
      <c r="L153" t="s">
        <v>335</v>
      </c>
      <c r="M153" t="s">
        <v>352</v>
      </c>
      <c r="N153" t="s">
        <v>352</v>
      </c>
      <c r="P153" t="s">
        <v>395</v>
      </c>
      <c r="Q153" t="s">
        <v>748</v>
      </c>
      <c r="R153" t="s">
        <v>749</v>
      </c>
      <c r="S153" t="s">
        <v>745</v>
      </c>
      <c r="T153" t="s">
        <v>348</v>
      </c>
      <c r="U153" t="s">
        <v>344</v>
      </c>
      <c r="V153">
        <v>52</v>
      </c>
      <c r="W153">
        <v>-127</v>
      </c>
      <c r="X153">
        <v>1750</v>
      </c>
      <c r="Y153" t="s">
        <v>750</v>
      </c>
      <c r="Z153" t="s">
        <v>751</v>
      </c>
      <c r="AA153" t="s">
        <v>1247</v>
      </c>
      <c r="AB153" t="s">
        <v>400</v>
      </c>
      <c r="AC153" t="s">
        <v>366</v>
      </c>
      <c r="AD153" t="s">
        <v>1185</v>
      </c>
      <c r="AE153" t="s">
        <v>364</v>
      </c>
      <c r="AF153">
        <v>-2.58</v>
      </c>
      <c r="AG153">
        <v>0.86</v>
      </c>
      <c r="AH153" t="s">
        <v>346</v>
      </c>
      <c r="AI153" t="s">
        <v>346</v>
      </c>
      <c r="AJ153" t="s">
        <v>592</v>
      </c>
      <c r="AK153">
        <v>87</v>
      </c>
      <c r="AL153" t="s">
        <v>377</v>
      </c>
      <c r="AM153" t="s">
        <v>366</v>
      </c>
      <c r="AN153" t="s">
        <v>348</v>
      </c>
      <c r="AO153" t="s">
        <v>349</v>
      </c>
      <c r="AP153" t="s">
        <v>386</v>
      </c>
      <c r="AQ153" t="s">
        <v>368</v>
      </c>
      <c r="AR153" t="s">
        <v>369</v>
      </c>
      <c r="AS153">
        <v>16</v>
      </c>
      <c r="AT153" t="s">
        <v>349</v>
      </c>
      <c r="AU153" t="s">
        <v>349</v>
      </c>
      <c r="AV153" t="s">
        <v>367</v>
      </c>
      <c r="AW153" t="s">
        <v>367</v>
      </c>
      <c r="AX153" t="s">
        <v>367</v>
      </c>
      <c r="AY153" t="s">
        <v>367</v>
      </c>
      <c r="AZ153" t="s">
        <v>367</v>
      </c>
      <c r="BA153" t="s">
        <v>367</v>
      </c>
      <c r="BB153" t="s">
        <v>367</v>
      </c>
      <c r="BC153">
        <v>4</v>
      </c>
    </row>
    <row r="154" spans="1:55" ht="15" customHeight="1" x14ac:dyDescent="0.35">
      <c r="A154" t="s">
        <v>995</v>
      </c>
      <c r="B154" t="s">
        <v>1616</v>
      </c>
      <c r="C154" t="s">
        <v>211</v>
      </c>
      <c r="D154" t="s">
        <v>37</v>
      </c>
      <c r="E154">
        <v>2009</v>
      </c>
      <c r="F154" t="s">
        <v>212</v>
      </c>
      <c r="G154" t="s">
        <v>335</v>
      </c>
      <c r="H154" t="s">
        <v>335</v>
      </c>
      <c r="I154" t="s">
        <v>335</v>
      </c>
      <c r="J154" t="s">
        <v>339</v>
      </c>
      <c r="K154" t="s">
        <v>335</v>
      </c>
      <c r="L154" t="s">
        <v>335</v>
      </c>
      <c r="M154" t="s">
        <v>352</v>
      </c>
      <c r="N154" t="s">
        <v>352</v>
      </c>
      <c r="P154" t="s">
        <v>756</v>
      </c>
      <c r="Q154" t="s">
        <v>757</v>
      </c>
      <c r="R154" t="s">
        <v>758</v>
      </c>
      <c r="S154" t="s">
        <v>754</v>
      </c>
      <c r="T154" t="s">
        <v>1235</v>
      </c>
      <c r="U154" t="s">
        <v>1239</v>
      </c>
      <c r="V154">
        <v>33.781013999999999</v>
      </c>
      <c r="W154">
        <v>-83.293610999999999</v>
      </c>
      <c r="X154">
        <v>170</v>
      </c>
      <c r="Y154" t="s">
        <v>755</v>
      </c>
      <c r="AA154" t="s">
        <v>1247</v>
      </c>
      <c r="AB154" t="s">
        <v>400</v>
      </c>
      <c r="AC154" t="s">
        <v>366</v>
      </c>
      <c r="AD154" t="s">
        <v>433</v>
      </c>
      <c r="AE154" t="s">
        <v>345</v>
      </c>
      <c r="AF154">
        <v>1.2</v>
      </c>
      <c r="AG154" t="s">
        <v>346</v>
      </c>
      <c r="AH154">
        <v>1.01</v>
      </c>
      <c r="AI154">
        <v>1.43</v>
      </c>
      <c r="AJ154" t="s">
        <v>592</v>
      </c>
      <c r="AK154">
        <v>190</v>
      </c>
      <c r="AL154" t="s">
        <v>377</v>
      </c>
      <c r="AM154" t="s">
        <v>452</v>
      </c>
      <c r="AN154" t="s">
        <v>348</v>
      </c>
      <c r="AO154" t="s">
        <v>349</v>
      </c>
      <c r="AP154" t="s">
        <v>386</v>
      </c>
      <c r="AQ154" t="s">
        <v>368</v>
      </c>
      <c r="AR154" t="s">
        <v>369</v>
      </c>
      <c r="AS154">
        <v>20</v>
      </c>
      <c r="AT154" t="s">
        <v>349</v>
      </c>
      <c r="AU154" t="s">
        <v>367</v>
      </c>
      <c r="AV154" t="s">
        <v>367</v>
      </c>
      <c r="AW154" t="s">
        <v>367</v>
      </c>
      <c r="AX154" t="s">
        <v>367</v>
      </c>
      <c r="AY154" t="s">
        <v>367</v>
      </c>
      <c r="AZ154" t="s">
        <v>367</v>
      </c>
      <c r="BA154" t="s">
        <v>367</v>
      </c>
      <c r="BB154" t="s">
        <v>367</v>
      </c>
      <c r="BC154">
        <v>5</v>
      </c>
    </row>
    <row r="155" spans="1:55" ht="15" customHeight="1" x14ac:dyDescent="0.35">
      <c r="A155" t="s">
        <v>995</v>
      </c>
      <c r="B155" t="s">
        <v>1616</v>
      </c>
      <c r="C155" t="s">
        <v>211</v>
      </c>
      <c r="D155" t="s">
        <v>37</v>
      </c>
      <c r="E155">
        <v>2009</v>
      </c>
      <c r="F155" t="s">
        <v>212</v>
      </c>
      <c r="G155" t="s">
        <v>335</v>
      </c>
      <c r="H155" t="s">
        <v>335</v>
      </c>
      <c r="I155" t="s">
        <v>335</v>
      </c>
      <c r="J155" t="s">
        <v>339</v>
      </c>
      <c r="K155" t="s">
        <v>335</v>
      </c>
      <c r="L155" t="s">
        <v>335</v>
      </c>
      <c r="M155" t="s">
        <v>352</v>
      </c>
      <c r="N155" t="s">
        <v>352</v>
      </c>
      <c r="P155" t="s">
        <v>756</v>
      </c>
      <c r="Q155" t="s">
        <v>757</v>
      </c>
      <c r="R155" t="s">
        <v>758</v>
      </c>
      <c r="S155" t="s">
        <v>754</v>
      </c>
      <c r="T155" t="s">
        <v>1235</v>
      </c>
      <c r="U155" t="s">
        <v>1239</v>
      </c>
      <c r="V155">
        <v>33.781013999999999</v>
      </c>
      <c r="W155">
        <v>-83.293610999999999</v>
      </c>
      <c r="X155">
        <v>170</v>
      </c>
      <c r="Y155" t="s">
        <v>755</v>
      </c>
      <c r="AA155" t="s">
        <v>1236</v>
      </c>
      <c r="AB155" t="s">
        <v>363</v>
      </c>
      <c r="AC155" t="s">
        <v>366</v>
      </c>
      <c r="AD155" t="s">
        <v>433</v>
      </c>
      <c r="AE155" t="s">
        <v>345</v>
      </c>
      <c r="AF155">
        <v>1.24</v>
      </c>
      <c r="AG155" t="s">
        <v>346</v>
      </c>
      <c r="AH155">
        <v>1.02</v>
      </c>
      <c r="AI155">
        <v>1.51</v>
      </c>
      <c r="AJ155" t="s">
        <v>592</v>
      </c>
      <c r="AK155">
        <v>191</v>
      </c>
      <c r="AL155" t="s">
        <v>377</v>
      </c>
      <c r="AM155" t="s">
        <v>452</v>
      </c>
      <c r="AN155" t="s">
        <v>348</v>
      </c>
      <c r="AO155" t="s">
        <v>349</v>
      </c>
      <c r="AP155" t="s">
        <v>386</v>
      </c>
      <c r="AQ155" t="s">
        <v>368</v>
      </c>
      <c r="AR155" t="s">
        <v>369</v>
      </c>
      <c r="AS155">
        <v>20</v>
      </c>
      <c r="AT155" t="s">
        <v>349</v>
      </c>
      <c r="AU155" t="s">
        <v>367</v>
      </c>
      <c r="AV155" t="s">
        <v>367</v>
      </c>
      <c r="AW155" t="s">
        <v>367</v>
      </c>
      <c r="AX155" t="s">
        <v>367</v>
      </c>
      <c r="AY155" t="s">
        <v>367</v>
      </c>
      <c r="AZ155" t="s">
        <v>367</v>
      </c>
      <c r="BA155" t="s">
        <v>367</v>
      </c>
      <c r="BB155" t="s">
        <v>367</v>
      </c>
      <c r="BC155">
        <v>5</v>
      </c>
    </row>
    <row r="156" spans="1:55" ht="15" customHeight="1" x14ac:dyDescent="0.35">
      <c r="A156" t="s">
        <v>995</v>
      </c>
      <c r="B156" t="s">
        <v>1617</v>
      </c>
      <c r="C156" t="s">
        <v>1055</v>
      </c>
      <c r="D156" t="s">
        <v>32</v>
      </c>
      <c r="E156">
        <v>2021</v>
      </c>
      <c r="F156" t="s">
        <v>1056</v>
      </c>
      <c r="G156" t="s">
        <v>335</v>
      </c>
      <c r="H156" t="s">
        <v>335</v>
      </c>
      <c r="I156" t="s">
        <v>335</v>
      </c>
      <c r="J156" t="s">
        <v>339</v>
      </c>
      <c r="K156" t="s">
        <v>335</v>
      </c>
      <c r="L156" t="s">
        <v>335</v>
      </c>
      <c r="M156" t="s">
        <v>352</v>
      </c>
      <c r="N156" t="s">
        <v>352</v>
      </c>
      <c r="P156" t="s">
        <v>765</v>
      </c>
      <c r="Q156" t="s">
        <v>766</v>
      </c>
      <c r="R156" t="s">
        <v>767</v>
      </c>
      <c r="S156" t="s">
        <v>761</v>
      </c>
      <c r="T156" t="s">
        <v>348</v>
      </c>
      <c r="U156" t="s">
        <v>344</v>
      </c>
      <c r="V156">
        <v>44.359507999999998</v>
      </c>
      <c r="W156">
        <v>-73.129937999999996</v>
      </c>
      <c r="X156">
        <v>108</v>
      </c>
      <c r="Y156" t="s">
        <v>760</v>
      </c>
      <c r="Z156" t="s">
        <v>764</v>
      </c>
      <c r="AA156" t="s">
        <v>1247</v>
      </c>
      <c r="AB156" t="s">
        <v>400</v>
      </c>
      <c r="AC156" t="s">
        <v>366</v>
      </c>
      <c r="AD156" t="s">
        <v>433</v>
      </c>
      <c r="AE156" t="s">
        <v>345</v>
      </c>
      <c r="AF156">
        <v>6.58</v>
      </c>
      <c r="AG156">
        <v>2.61</v>
      </c>
      <c r="AH156" t="s">
        <v>346</v>
      </c>
      <c r="AI156" t="s">
        <v>346</v>
      </c>
      <c r="AJ156" t="s">
        <v>592</v>
      </c>
      <c r="AK156">
        <v>598</v>
      </c>
      <c r="AL156" t="s">
        <v>377</v>
      </c>
      <c r="AM156" t="s">
        <v>347</v>
      </c>
      <c r="AN156" t="s">
        <v>348</v>
      </c>
      <c r="AO156" t="s">
        <v>349</v>
      </c>
      <c r="AP156" t="s">
        <v>386</v>
      </c>
      <c r="AQ156" t="s">
        <v>368</v>
      </c>
      <c r="AR156" t="s">
        <v>369</v>
      </c>
      <c r="AS156">
        <v>43</v>
      </c>
      <c r="AT156" t="s">
        <v>349</v>
      </c>
      <c r="AU156" t="s">
        <v>349</v>
      </c>
      <c r="AV156" t="s">
        <v>367</v>
      </c>
      <c r="AW156" t="s">
        <v>367</v>
      </c>
      <c r="AX156" t="s">
        <v>367</v>
      </c>
      <c r="AY156" t="s">
        <v>367</v>
      </c>
      <c r="AZ156" t="s">
        <v>367</v>
      </c>
      <c r="BA156" t="s">
        <v>367</v>
      </c>
      <c r="BB156" t="s">
        <v>367</v>
      </c>
      <c r="BC156">
        <v>5</v>
      </c>
    </row>
    <row r="157" spans="1:55" ht="15" customHeight="1" x14ac:dyDescent="0.35">
      <c r="A157" t="s">
        <v>995</v>
      </c>
      <c r="B157" t="s">
        <v>1617</v>
      </c>
      <c r="C157" t="s">
        <v>1055</v>
      </c>
      <c r="D157" t="s">
        <v>32</v>
      </c>
      <c r="E157">
        <v>2021</v>
      </c>
      <c r="F157" t="s">
        <v>1056</v>
      </c>
      <c r="G157" t="s">
        <v>335</v>
      </c>
      <c r="H157" t="s">
        <v>335</v>
      </c>
      <c r="I157" t="s">
        <v>335</v>
      </c>
      <c r="J157" t="s">
        <v>339</v>
      </c>
      <c r="K157" t="s">
        <v>335</v>
      </c>
      <c r="L157" t="s">
        <v>335</v>
      </c>
      <c r="M157" t="s">
        <v>352</v>
      </c>
      <c r="N157" t="s">
        <v>352</v>
      </c>
      <c r="P157" t="s">
        <v>395</v>
      </c>
      <c r="Q157" t="s">
        <v>748</v>
      </c>
      <c r="R157" t="s">
        <v>749</v>
      </c>
      <c r="S157" t="s">
        <v>745</v>
      </c>
      <c r="T157" t="s">
        <v>348</v>
      </c>
      <c r="U157" t="s">
        <v>344</v>
      </c>
      <c r="V157">
        <v>44.359507999999998</v>
      </c>
      <c r="W157">
        <v>-73.129937999999996</v>
      </c>
      <c r="X157">
        <v>108</v>
      </c>
      <c r="Y157" t="s">
        <v>760</v>
      </c>
      <c r="Z157" t="s">
        <v>1317</v>
      </c>
      <c r="AA157" t="s">
        <v>1247</v>
      </c>
      <c r="AB157" t="s">
        <v>400</v>
      </c>
      <c r="AC157" t="s">
        <v>1241</v>
      </c>
      <c r="AD157" t="s">
        <v>759</v>
      </c>
      <c r="AE157" t="s">
        <v>364</v>
      </c>
      <c r="AF157">
        <v>-1.19</v>
      </c>
      <c r="AG157">
        <v>0.97</v>
      </c>
      <c r="AH157" t="s">
        <v>346</v>
      </c>
      <c r="AI157" t="s">
        <v>346</v>
      </c>
      <c r="AJ157" t="s">
        <v>592</v>
      </c>
      <c r="AK157">
        <v>634</v>
      </c>
      <c r="AL157" t="s">
        <v>377</v>
      </c>
      <c r="AM157" t="s">
        <v>347</v>
      </c>
      <c r="AN157" t="s">
        <v>348</v>
      </c>
      <c r="AO157" t="s">
        <v>349</v>
      </c>
      <c r="AP157" t="s">
        <v>386</v>
      </c>
      <c r="AQ157" t="s">
        <v>368</v>
      </c>
      <c r="AR157" t="s">
        <v>369</v>
      </c>
      <c r="AS157">
        <v>16</v>
      </c>
      <c r="AT157" t="s">
        <v>349</v>
      </c>
      <c r="AU157" t="s">
        <v>349</v>
      </c>
      <c r="AV157" t="s">
        <v>367</v>
      </c>
      <c r="AW157" t="s">
        <v>367</v>
      </c>
      <c r="AX157" t="s">
        <v>367</v>
      </c>
      <c r="AY157" t="s">
        <v>367</v>
      </c>
      <c r="AZ157" t="s">
        <v>367</v>
      </c>
      <c r="BA157" t="s">
        <v>367</v>
      </c>
      <c r="BB157" t="s">
        <v>367</v>
      </c>
      <c r="BC157">
        <v>4</v>
      </c>
    </row>
    <row r="158" spans="1:55" ht="15" customHeight="1" x14ac:dyDescent="0.35">
      <c r="A158" t="s">
        <v>995</v>
      </c>
      <c r="B158" t="s">
        <v>1617</v>
      </c>
      <c r="C158" t="s">
        <v>1055</v>
      </c>
      <c r="D158" t="s">
        <v>32</v>
      </c>
      <c r="E158">
        <v>2021</v>
      </c>
      <c r="F158" t="s">
        <v>1056</v>
      </c>
      <c r="G158" t="s">
        <v>335</v>
      </c>
      <c r="H158" t="s">
        <v>335</v>
      </c>
      <c r="I158" t="s">
        <v>335</v>
      </c>
      <c r="J158" t="s">
        <v>339</v>
      </c>
      <c r="K158" t="s">
        <v>335</v>
      </c>
      <c r="L158" t="s">
        <v>335</v>
      </c>
      <c r="M158" t="s">
        <v>352</v>
      </c>
      <c r="N158" t="s">
        <v>352</v>
      </c>
      <c r="P158" t="s">
        <v>765</v>
      </c>
      <c r="Q158" t="s">
        <v>766</v>
      </c>
      <c r="R158" t="s">
        <v>767</v>
      </c>
      <c r="S158" t="s">
        <v>761</v>
      </c>
      <c r="T158" t="s">
        <v>348</v>
      </c>
      <c r="U158" t="s">
        <v>344</v>
      </c>
      <c r="V158">
        <v>44.359507999999998</v>
      </c>
      <c r="W158">
        <v>-73.129937999999996</v>
      </c>
      <c r="X158">
        <v>108</v>
      </c>
      <c r="Y158" t="s">
        <v>760</v>
      </c>
      <c r="AA158" t="s">
        <v>1247</v>
      </c>
      <c r="AB158" t="s">
        <v>400</v>
      </c>
      <c r="AC158" t="s">
        <v>1241</v>
      </c>
      <c r="AD158" t="s">
        <v>762</v>
      </c>
      <c r="AE158" t="s">
        <v>345</v>
      </c>
      <c r="AF158">
        <v>1.18</v>
      </c>
      <c r="AG158">
        <v>0.45</v>
      </c>
      <c r="AH158" t="s">
        <v>346</v>
      </c>
      <c r="AI158" t="s">
        <v>346</v>
      </c>
      <c r="AJ158" t="s">
        <v>592</v>
      </c>
      <c r="AK158">
        <v>598</v>
      </c>
      <c r="AL158" t="s">
        <v>377</v>
      </c>
      <c r="AM158" t="s">
        <v>347</v>
      </c>
      <c r="AN158" t="s">
        <v>348</v>
      </c>
      <c r="AO158" t="s">
        <v>349</v>
      </c>
      <c r="AP158" t="s">
        <v>386</v>
      </c>
      <c r="AQ158" t="s">
        <v>368</v>
      </c>
      <c r="AR158" t="s">
        <v>369</v>
      </c>
      <c r="AS158">
        <v>43</v>
      </c>
      <c r="AT158" t="s">
        <v>349</v>
      </c>
      <c r="AU158" t="s">
        <v>349</v>
      </c>
      <c r="AV158" t="s">
        <v>367</v>
      </c>
      <c r="AW158" t="s">
        <v>367</v>
      </c>
      <c r="AX158" t="s">
        <v>367</v>
      </c>
      <c r="AY158" t="s">
        <v>367</v>
      </c>
      <c r="AZ158" t="s">
        <v>367</v>
      </c>
      <c r="BA158" t="s">
        <v>367</v>
      </c>
      <c r="BB158" t="s">
        <v>367</v>
      </c>
      <c r="BC158">
        <v>5</v>
      </c>
    </row>
    <row r="159" spans="1:55" ht="15" customHeight="1" x14ac:dyDescent="0.35">
      <c r="A159" t="s">
        <v>995</v>
      </c>
      <c r="B159" t="s">
        <v>1617</v>
      </c>
      <c r="C159" t="s">
        <v>1055</v>
      </c>
      <c r="D159" t="s">
        <v>32</v>
      </c>
      <c r="E159">
        <v>2021</v>
      </c>
      <c r="F159" t="s">
        <v>1056</v>
      </c>
      <c r="G159" t="s">
        <v>335</v>
      </c>
      <c r="H159" t="s">
        <v>335</v>
      </c>
      <c r="I159" t="s">
        <v>335</v>
      </c>
      <c r="J159" t="s">
        <v>339</v>
      </c>
      <c r="K159" t="s">
        <v>335</v>
      </c>
      <c r="L159" t="s">
        <v>335</v>
      </c>
      <c r="M159" t="s">
        <v>352</v>
      </c>
      <c r="N159" t="s">
        <v>352</v>
      </c>
      <c r="P159" t="s">
        <v>395</v>
      </c>
      <c r="Q159" t="s">
        <v>748</v>
      </c>
      <c r="R159" t="s">
        <v>749</v>
      </c>
      <c r="S159" t="s">
        <v>745</v>
      </c>
      <c r="T159" t="s">
        <v>348</v>
      </c>
      <c r="U159" t="s">
        <v>344</v>
      </c>
      <c r="V159">
        <v>44.359507999999998</v>
      </c>
      <c r="W159">
        <v>-73.129937999999996</v>
      </c>
      <c r="X159">
        <v>108</v>
      </c>
      <c r="Y159" t="s">
        <v>760</v>
      </c>
      <c r="AA159" t="s">
        <v>1247</v>
      </c>
      <c r="AB159" t="s">
        <v>400</v>
      </c>
      <c r="AC159" t="s">
        <v>1241</v>
      </c>
      <c r="AD159" t="s">
        <v>763</v>
      </c>
      <c r="AE159" t="s">
        <v>345</v>
      </c>
      <c r="AF159">
        <v>1.07</v>
      </c>
      <c r="AG159">
        <v>0.24</v>
      </c>
      <c r="AH159" t="s">
        <v>346</v>
      </c>
      <c r="AI159" t="s">
        <v>346</v>
      </c>
      <c r="AJ159" t="s">
        <v>592</v>
      </c>
      <c r="AK159">
        <v>634</v>
      </c>
      <c r="AL159" t="s">
        <v>377</v>
      </c>
      <c r="AM159" t="s">
        <v>347</v>
      </c>
      <c r="AN159" t="s">
        <v>348</v>
      </c>
      <c r="AO159" t="s">
        <v>349</v>
      </c>
      <c r="AP159" t="s">
        <v>386</v>
      </c>
      <c r="AQ159" t="s">
        <v>368</v>
      </c>
      <c r="AR159" t="s">
        <v>369</v>
      </c>
      <c r="AS159">
        <v>16</v>
      </c>
      <c r="AT159" t="s">
        <v>349</v>
      </c>
      <c r="AU159" t="s">
        <v>349</v>
      </c>
      <c r="AV159" t="s">
        <v>367</v>
      </c>
      <c r="AW159" t="s">
        <v>367</v>
      </c>
      <c r="AX159" t="s">
        <v>367</v>
      </c>
      <c r="AY159" t="s">
        <v>367</v>
      </c>
      <c r="AZ159" t="s">
        <v>367</v>
      </c>
      <c r="BA159" t="s">
        <v>367</v>
      </c>
      <c r="BB159" t="s">
        <v>367</v>
      </c>
      <c r="BC159">
        <v>4</v>
      </c>
    </row>
    <row r="160" spans="1:55" ht="15" customHeight="1" x14ac:dyDescent="0.35">
      <c r="A160" t="s">
        <v>995</v>
      </c>
      <c r="B160" t="s">
        <v>1618</v>
      </c>
      <c r="C160" t="s">
        <v>1697</v>
      </c>
      <c r="D160" t="s">
        <v>182</v>
      </c>
      <c r="E160" t="str">
        <f>"1988"</f>
        <v>1988</v>
      </c>
      <c r="G160" t="s">
        <v>335</v>
      </c>
      <c r="H160" t="s">
        <v>335</v>
      </c>
      <c r="I160" t="s">
        <v>335</v>
      </c>
      <c r="J160" t="s">
        <v>339</v>
      </c>
      <c r="K160" t="s">
        <v>335</v>
      </c>
      <c r="L160" t="s">
        <v>335</v>
      </c>
      <c r="M160" t="s">
        <v>352</v>
      </c>
      <c r="N160" t="s">
        <v>335</v>
      </c>
      <c r="P160" t="s">
        <v>357</v>
      </c>
      <c r="Q160" t="s">
        <v>358</v>
      </c>
      <c r="R160" t="s">
        <v>359</v>
      </c>
      <c r="S160" t="s">
        <v>360</v>
      </c>
      <c r="T160" t="s">
        <v>348</v>
      </c>
      <c r="U160" t="s">
        <v>344</v>
      </c>
      <c r="V160">
        <v>54.842466000000002</v>
      </c>
      <c r="W160">
        <v>-4.552657</v>
      </c>
      <c r="X160">
        <v>65</v>
      </c>
      <c r="Y160" t="s">
        <v>769</v>
      </c>
      <c r="Z160" t="s">
        <v>1318</v>
      </c>
      <c r="AA160" t="s">
        <v>1236</v>
      </c>
      <c r="AB160" t="s">
        <v>457</v>
      </c>
      <c r="AC160" t="s">
        <v>1237</v>
      </c>
      <c r="AD160" t="s">
        <v>961</v>
      </c>
      <c r="AE160" t="s">
        <v>364</v>
      </c>
      <c r="AF160">
        <v>-0.84</v>
      </c>
      <c r="AG160" t="s">
        <v>346</v>
      </c>
      <c r="AH160" t="s">
        <v>346</v>
      </c>
      <c r="AI160" t="s">
        <v>346</v>
      </c>
      <c r="AJ160" t="s">
        <v>650</v>
      </c>
      <c r="AK160">
        <v>329</v>
      </c>
      <c r="AL160" t="s">
        <v>377</v>
      </c>
      <c r="AM160" t="s">
        <v>347</v>
      </c>
      <c r="AN160" t="s">
        <v>348</v>
      </c>
      <c r="AO160" t="s">
        <v>367</v>
      </c>
      <c r="AP160" t="s">
        <v>350</v>
      </c>
      <c r="AQ160" t="s">
        <v>368</v>
      </c>
      <c r="AR160" t="s">
        <v>369</v>
      </c>
      <c r="AS160">
        <v>1005</v>
      </c>
      <c r="AT160" t="s">
        <v>349</v>
      </c>
      <c r="AU160" t="s">
        <v>367</v>
      </c>
      <c r="AV160" t="s">
        <v>367</v>
      </c>
      <c r="AW160" t="s">
        <v>349</v>
      </c>
      <c r="AX160" t="s">
        <v>349</v>
      </c>
      <c r="AY160" t="s">
        <v>367</v>
      </c>
      <c r="AZ160" t="s">
        <v>349</v>
      </c>
      <c r="BA160" t="s">
        <v>349</v>
      </c>
      <c r="BB160" t="s">
        <v>367</v>
      </c>
      <c r="BC160">
        <v>3.5</v>
      </c>
    </row>
    <row r="161" spans="1:55" ht="15" customHeight="1" x14ac:dyDescent="0.35">
      <c r="A161" t="s">
        <v>995</v>
      </c>
      <c r="B161" t="s">
        <v>1619</v>
      </c>
      <c r="C161" t="s">
        <v>213</v>
      </c>
      <c r="D161" t="s">
        <v>214</v>
      </c>
      <c r="E161">
        <v>2016</v>
      </c>
      <c r="F161" t="s">
        <v>215</v>
      </c>
      <c r="G161" t="s">
        <v>335</v>
      </c>
      <c r="H161" t="s">
        <v>335</v>
      </c>
      <c r="I161" t="s">
        <v>335</v>
      </c>
      <c r="J161" t="s">
        <v>339</v>
      </c>
      <c r="K161" t="s">
        <v>335</v>
      </c>
      <c r="L161" t="s">
        <v>335</v>
      </c>
      <c r="M161" t="s">
        <v>352</v>
      </c>
      <c r="N161" t="s">
        <v>352</v>
      </c>
      <c r="P161" t="s">
        <v>437</v>
      </c>
      <c r="Q161" t="s">
        <v>295</v>
      </c>
      <c r="R161" t="s">
        <v>438</v>
      </c>
      <c r="S161" t="s">
        <v>1513</v>
      </c>
      <c r="T161" t="s">
        <v>1249</v>
      </c>
      <c r="U161" t="s">
        <v>471</v>
      </c>
      <c r="V161">
        <v>45.787999999999997</v>
      </c>
      <c r="W161">
        <v>19.098299999999998</v>
      </c>
      <c r="X161">
        <v>89</v>
      </c>
      <c r="Y161" t="s">
        <v>770</v>
      </c>
      <c r="Z161" t="s">
        <v>1319</v>
      </c>
      <c r="AA161" t="s">
        <v>1236</v>
      </c>
      <c r="AB161" t="s">
        <v>384</v>
      </c>
      <c r="AC161" t="s">
        <v>1237</v>
      </c>
      <c r="AD161" t="s">
        <v>1261</v>
      </c>
      <c r="AE161" t="s">
        <v>364</v>
      </c>
      <c r="AF161">
        <v>-0.11</v>
      </c>
      <c r="AG161">
        <v>4.1000000000000002E-2</v>
      </c>
      <c r="AH161" t="s">
        <v>346</v>
      </c>
      <c r="AI161" t="s">
        <v>346</v>
      </c>
      <c r="AJ161" t="s">
        <v>592</v>
      </c>
      <c r="AK161">
        <v>161</v>
      </c>
      <c r="AL161" t="s">
        <v>377</v>
      </c>
      <c r="AM161" t="s">
        <v>347</v>
      </c>
      <c r="AN161" t="s">
        <v>348</v>
      </c>
      <c r="AO161" t="s">
        <v>367</v>
      </c>
      <c r="AP161" t="s">
        <v>386</v>
      </c>
      <c r="AQ161" t="s">
        <v>368</v>
      </c>
      <c r="AR161" t="s">
        <v>369</v>
      </c>
      <c r="AS161">
        <v>27</v>
      </c>
      <c r="AT161" t="s">
        <v>349</v>
      </c>
      <c r="AU161" t="s">
        <v>367</v>
      </c>
      <c r="AV161" t="s">
        <v>349</v>
      </c>
      <c r="AW161" t="s">
        <v>367</v>
      </c>
      <c r="AX161" t="s">
        <v>367</v>
      </c>
      <c r="AY161" t="s">
        <v>367</v>
      </c>
      <c r="AZ161" t="s">
        <v>367</v>
      </c>
      <c r="BA161" t="s">
        <v>367</v>
      </c>
      <c r="BB161" t="s">
        <v>367</v>
      </c>
      <c r="BC161">
        <v>5</v>
      </c>
    </row>
    <row r="162" spans="1:55" ht="15" customHeight="1" x14ac:dyDescent="0.35">
      <c r="A162" t="s">
        <v>995</v>
      </c>
      <c r="B162" t="s">
        <v>1620</v>
      </c>
      <c r="C162" t="s">
        <v>216</v>
      </c>
      <c r="D162" t="s">
        <v>217</v>
      </c>
      <c r="E162">
        <v>2014</v>
      </c>
      <c r="F162" t="s">
        <v>218</v>
      </c>
      <c r="G162" t="s">
        <v>335</v>
      </c>
      <c r="H162" t="s">
        <v>335</v>
      </c>
      <c r="I162" t="s">
        <v>335</v>
      </c>
      <c r="J162" t="s">
        <v>339</v>
      </c>
      <c r="K162" t="s">
        <v>335</v>
      </c>
      <c r="L162" t="s">
        <v>335</v>
      </c>
      <c r="M162" t="s">
        <v>352</v>
      </c>
      <c r="N162" t="s">
        <v>335</v>
      </c>
      <c r="P162" t="s">
        <v>437</v>
      </c>
      <c r="Q162" t="s">
        <v>295</v>
      </c>
      <c r="R162" t="s">
        <v>438</v>
      </c>
      <c r="S162" t="s">
        <v>1513</v>
      </c>
      <c r="T162" t="s">
        <v>1249</v>
      </c>
      <c r="U162" t="s">
        <v>471</v>
      </c>
      <c r="V162">
        <v>45.787999999999997</v>
      </c>
      <c r="W162">
        <v>19.098299999999998</v>
      </c>
      <c r="X162">
        <v>89</v>
      </c>
      <c r="Y162" t="s">
        <v>771</v>
      </c>
      <c r="Z162" t="s">
        <v>1320</v>
      </c>
      <c r="AA162" t="s">
        <v>1236</v>
      </c>
      <c r="AB162" t="s">
        <v>915</v>
      </c>
      <c r="AC162" t="s">
        <v>1237</v>
      </c>
      <c r="AD162" t="s">
        <v>975</v>
      </c>
      <c r="AE162" t="s">
        <v>364</v>
      </c>
      <c r="AF162">
        <v>-0.76</v>
      </c>
      <c r="AG162" t="s">
        <v>346</v>
      </c>
      <c r="AH162" t="s">
        <v>346</v>
      </c>
      <c r="AI162" t="s">
        <v>346</v>
      </c>
      <c r="AJ162" t="s">
        <v>772</v>
      </c>
      <c r="AK162">
        <v>87</v>
      </c>
      <c r="AL162" t="s">
        <v>377</v>
      </c>
      <c r="AM162" t="s">
        <v>347</v>
      </c>
      <c r="AN162" t="s">
        <v>348</v>
      </c>
      <c r="AO162" t="s">
        <v>367</v>
      </c>
      <c r="AP162" t="s">
        <v>386</v>
      </c>
      <c r="AQ162" t="s">
        <v>368</v>
      </c>
      <c r="AR162" t="s">
        <v>369</v>
      </c>
      <c r="AS162">
        <v>27</v>
      </c>
      <c r="AT162" t="s">
        <v>349</v>
      </c>
      <c r="AU162" t="s">
        <v>367</v>
      </c>
      <c r="AV162" t="s">
        <v>349</v>
      </c>
      <c r="AW162" t="s">
        <v>367</v>
      </c>
      <c r="AX162" t="s">
        <v>367</v>
      </c>
      <c r="AY162" t="s">
        <v>367</v>
      </c>
      <c r="AZ162" t="s">
        <v>367</v>
      </c>
      <c r="BA162" t="s">
        <v>367</v>
      </c>
      <c r="BB162" t="s">
        <v>367</v>
      </c>
      <c r="BC162">
        <v>5</v>
      </c>
    </row>
    <row r="163" spans="1:55" ht="15" customHeight="1" x14ac:dyDescent="0.35">
      <c r="A163" t="s">
        <v>995</v>
      </c>
      <c r="B163" t="s">
        <v>1621</v>
      </c>
      <c r="C163" t="s">
        <v>219</v>
      </c>
      <c r="D163" t="s">
        <v>84</v>
      </c>
      <c r="E163">
        <v>2017</v>
      </c>
      <c r="F163" t="s">
        <v>220</v>
      </c>
      <c r="G163" t="s">
        <v>335</v>
      </c>
      <c r="H163" t="s">
        <v>335</v>
      </c>
      <c r="I163" t="s">
        <v>335</v>
      </c>
      <c r="J163" t="s">
        <v>339</v>
      </c>
      <c r="K163" t="s">
        <v>335</v>
      </c>
      <c r="L163" t="s">
        <v>335</v>
      </c>
      <c r="M163" t="s">
        <v>352</v>
      </c>
      <c r="N163" t="s">
        <v>335</v>
      </c>
      <c r="O163" t="s">
        <v>1511</v>
      </c>
      <c r="P163" t="s">
        <v>718</v>
      </c>
      <c r="Q163" t="s">
        <v>774</v>
      </c>
      <c r="R163" t="s">
        <v>773</v>
      </c>
      <c r="S163" t="s">
        <v>776</v>
      </c>
      <c r="T163" t="s">
        <v>348</v>
      </c>
      <c r="U163" t="s">
        <v>344</v>
      </c>
      <c r="V163" t="s">
        <v>346</v>
      </c>
      <c r="W163" t="s">
        <v>346</v>
      </c>
      <c r="X163" t="s">
        <v>346</v>
      </c>
      <c r="Y163" t="s">
        <v>775</v>
      </c>
      <c r="AA163" t="s">
        <v>1236</v>
      </c>
      <c r="AB163" t="s">
        <v>1002</v>
      </c>
      <c r="AC163" t="s">
        <v>1237</v>
      </c>
      <c r="AD163" t="s">
        <v>1321</v>
      </c>
      <c r="AE163" t="s">
        <v>345</v>
      </c>
      <c r="AF163" t="s">
        <v>346</v>
      </c>
      <c r="AG163" t="s">
        <v>346</v>
      </c>
      <c r="AH163" t="s">
        <v>346</v>
      </c>
      <c r="AI163" t="s">
        <v>346</v>
      </c>
      <c r="AJ163" t="s">
        <v>339</v>
      </c>
      <c r="AK163">
        <v>2985</v>
      </c>
      <c r="AL163" t="s">
        <v>377</v>
      </c>
      <c r="AM163" t="s">
        <v>347</v>
      </c>
      <c r="AN163" t="s">
        <v>348</v>
      </c>
      <c r="AO163" t="s">
        <v>367</v>
      </c>
      <c r="AP163" t="s">
        <v>386</v>
      </c>
      <c r="AQ163" t="s">
        <v>368</v>
      </c>
      <c r="AR163" t="s">
        <v>369</v>
      </c>
      <c r="AS163">
        <v>95</v>
      </c>
      <c r="AT163" t="s">
        <v>349</v>
      </c>
      <c r="AU163" t="s">
        <v>349</v>
      </c>
      <c r="AV163" t="s">
        <v>349</v>
      </c>
      <c r="AW163" t="s">
        <v>367</v>
      </c>
      <c r="AX163" t="s">
        <v>349</v>
      </c>
      <c r="AY163" t="s">
        <v>349</v>
      </c>
      <c r="AZ163" t="s">
        <v>349</v>
      </c>
      <c r="BA163" t="s">
        <v>367</v>
      </c>
      <c r="BB163" t="s">
        <v>367</v>
      </c>
      <c r="BC163">
        <v>3.5</v>
      </c>
    </row>
    <row r="164" spans="1:55" ht="15" customHeight="1" x14ac:dyDescent="0.35">
      <c r="A164" t="s">
        <v>995</v>
      </c>
      <c r="B164" t="s">
        <v>1621</v>
      </c>
      <c r="C164" t="s">
        <v>219</v>
      </c>
      <c r="D164" t="s">
        <v>84</v>
      </c>
      <c r="E164">
        <v>2017</v>
      </c>
      <c r="F164" t="s">
        <v>220</v>
      </c>
      <c r="G164" t="s">
        <v>335</v>
      </c>
      <c r="H164" t="s">
        <v>335</v>
      </c>
      <c r="I164" t="s">
        <v>335</v>
      </c>
      <c r="J164" t="s">
        <v>339</v>
      </c>
      <c r="K164" t="s">
        <v>335</v>
      </c>
      <c r="L164" t="s">
        <v>335</v>
      </c>
      <c r="M164" t="s">
        <v>352</v>
      </c>
      <c r="N164" t="s">
        <v>335</v>
      </c>
      <c r="O164" t="s">
        <v>1511</v>
      </c>
      <c r="P164" t="s">
        <v>718</v>
      </c>
      <c r="Q164" t="s">
        <v>774</v>
      </c>
      <c r="R164" t="s">
        <v>773</v>
      </c>
      <c r="S164" t="s">
        <v>776</v>
      </c>
      <c r="T164" t="s">
        <v>348</v>
      </c>
      <c r="U164" t="s">
        <v>344</v>
      </c>
      <c r="V164" t="s">
        <v>346</v>
      </c>
      <c r="W164" t="s">
        <v>346</v>
      </c>
      <c r="X164" t="s">
        <v>346</v>
      </c>
      <c r="Y164" t="s">
        <v>775</v>
      </c>
      <c r="AA164" t="s">
        <v>1236</v>
      </c>
      <c r="AB164" t="s">
        <v>363</v>
      </c>
      <c r="AC164" t="s">
        <v>1237</v>
      </c>
      <c r="AD164" t="s">
        <v>1321</v>
      </c>
      <c r="AE164" t="s">
        <v>345</v>
      </c>
      <c r="AF164" t="s">
        <v>346</v>
      </c>
      <c r="AG164" t="s">
        <v>346</v>
      </c>
      <c r="AH164" t="s">
        <v>346</v>
      </c>
      <c r="AI164" t="s">
        <v>346</v>
      </c>
      <c r="AJ164" t="s">
        <v>339</v>
      </c>
      <c r="AK164">
        <v>2985</v>
      </c>
      <c r="AL164" t="s">
        <v>377</v>
      </c>
      <c r="AM164" t="s">
        <v>347</v>
      </c>
      <c r="AN164" t="s">
        <v>348</v>
      </c>
      <c r="AO164" t="s">
        <v>367</v>
      </c>
      <c r="AP164" t="s">
        <v>386</v>
      </c>
      <c r="AQ164" t="s">
        <v>368</v>
      </c>
      <c r="AR164" t="s">
        <v>369</v>
      </c>
      <c r="AS164">
        <v>95</v>
      </c>
      <c r="AT164" t="s">
        <v>349</v>
      </c>
      <c r="AU164" t="s">
        <v>349</v>
      </c>
      <c r="AV164" t="s">
        <v>349</v>
      </c>
      <c r="AW164" t="s">
        <v>367</v>
      </c>
      <c r="AX164" t="s">
        <v>349</v>
      </c>
      <c r="AY164" t="s">
        <v>349</v>
      </c>
      <c r="AZ164" t="s">
        <v>349</v>
      </c>
      <c r="BA164" t="s">
        <v>367</v>
      </c>
      <c r="BB164" t="s">
        <v>367</v>
      </c>
      <c r="BC164">
        <v>3.5</v>
      </c>
    </row>
    <row r="165" spans="1:55" ht="15" customHeight="1" x14ac:dyDescent="0.35">
      <c r="A165" t="s">
        <v>995</v>
      </c>
      <c r="B165" t="s">
        <v>1622</v>
      </c>
      <c r="C165" t="s">
        <v>221</v>
      </c>
      <c r="D165" t="s">
        <v>184</v>
      </c>
      <c r="E165">
        <v>2021</v>
      </c>
      <c r="F165" t="s">
        <v>1057</v>
      </c>
      <c r="G165" t="s">
        <v>335</v>
      </c>
      <c r="H165" t="s">
        <v>335</v>
      </c>
      <c r="I165" t="s">
        <v>335</v>
      </c>
      <c r="J165" t="s">
        <v>339</v>
      </c>
      <c r="K165" t="s">
        <v>335</v>
      </c>
      <c r="L165" t="s">
        <v>335</v>
      </c>
      <c r="M165" t="s">
        <v>352</v>
      </c>
      <c r="N165" t="s">
        <v>352</v>
      </c>
      <c r="P165" t="s">
        <v>480</v>
      </c>
      <c r="Q165" t="s">
        <v>606</v>
      </c>
      <c r="R165" t="s">
        <v>779</v>
      </c>
      <c r="S165" t="s">
        <v>778</v>
      </c>
      <c r="T165" t="s">
        <v>348</v>
      </c>
      <c r="U165" t="s">
        <v>344</v>
      </c>
      <c r="V165">
        <v>47.844973000000003</v>
      </c>
      <c r="W165">
        <v>-104.083118</v>
      </c>
      <c r="X165">
        <v>625</v>
      </c>
      <c r="Y165" t="s">
        <v>777</v>
      </c>
      <c r="AA165" t="s">
        <v>1247</v>
      </c>
      <c r="AB165" t="s">
        <v>400</v>
      </c>
      <c r="AC165" t="s">
        <v>366</v>
      </c>
      <c r="AD165" t="s">
        <v>1305</v>
      </c>
      <c r="AE165" t="s">
        <v>345</v>
      </c>
      <c r="AF165">
        <v>0.01</v>
      </c>
      <c r="AG165">
        <v>4.0000000000000001E-3</v>
      </c>
      <c r="AH165" t="s">
        <v>346</v>
      </c>
      <c r="AI165" t="s">
        <v>346</v>
      </c>
      <c r="AJ165" t="s">
        <v>592</v>
      </c>
      <c r="AK165">
        <v>113</v>
      </c>
      <c r="AL165" t="s">
        <v>377</v>
      </c>
      <c r="AM165" t="s">
        <v>347</v>
      </c>
      <c r="AN165" t="s">
        <v>348</v>
      </c>
      <c r="AO165" t="s">
        <v>349</v>
      </c>
      <c r="AP165" t="s">
        <v>492</v>
      </c>
      <c r="AQ165" t="s">
        <v>351</v>
      </c>
      <c r="AR165" t="s">
        <v>356</v>
      </c>
      <c r="AS165">
        <v>813</v>
      </c>
      <c r="AT165" t="s">
        <v>349</v>
      </c>
      <c r="AU165" t="s">
        <v>349</v>
      </c>
      <c r="AV165" t="s">
        <v>349</v>
      </c>
      <c r="AW165" t="s">
        <v>367</v>
      </c>
      <c r="AX165" t="s">
        <v>367</v>
      </c>
      <c r="AY165" t="s">
        <v>367</v>
      </c>
      <c r="AZ165" t="s">
        <v>367</v>
      </c>
      <c r="BA165" t="s">
        <v>367</v>
      </c>
      <c r="BB165" t="s">
        <v>367</v>
      </c>
      <c r="BC165">
        <v>11</v>
      </c>
    </row>
    <row r="166" spans="1:55" ht="15" customHeight="1" x14ac:dyDescent="0.35">
      <c r="A166" t="s">
        <v>995</v>
      </c>
      <c r="B166" t="s">
        <v>1623</v>
      </c>
      <c r="C166" t="s">
        <v>222</v>
      </c>
      <c r="D166" t="s">
        <v>34</v>
      </c>
      <c r="E166">
        <v>2009</v>
      </c>
      <c r="F166" t="s">
        <v>223</v>
      </c>
      <c r="G166" t="s">
        <v>335</v>
      </c>
      <c r="H166" t="s">
        <v>335</v>
      </c>
      <c r="I166" t="s">
        <v>335</v>
      </c>
      <c r="J166" t="s">
        <v>339</v>
      </c>
      <c r="K166" t="s">
        <v>335</v>
      </c>
      <c r="L166" t="s">
        <v>335</v>
      </c>
      <c r="M166" t="s">
        <v>352</v>
      </c>
      <c r="N166" t="s">
        <v>335</v>
      </c>
      <c r="P166" t="s">
        <v>581</v>
      </c>
      <c r="Q166" t="s">
        <v>781</v>
      </c>
      <c r="R166" t="s">
        <v>782</v>
      </c>
      <c r="S166" t="s">
        <v>780</v>
      </c>
      <c r="T166" t="s">
        <v>1235</v>
      </c>
      <c r="U166" t="s">
        <v>506</v>
      </c>
      <c r="V166">
        <v>-31.53</v>
      </c>
      <c r="W166">
        <v>26.18</v>
      </c>
      <c r="X166">
        <v>1752</v>
      </c>
      <c r="Y166" t="s">
        <v>783</v>
      </c>
      <c r="Z166" t="s">
        <v>784</v>
      </c>
      <c r="AA166" t="s">
        <v>1236</v>
      </c>
      <c r="AB166" t="s">
        <v>384</v>
      </c>
      <c r="AC166" t="s">
        <v>1237</v>
      </c>
      <c r="AD166" t="s">
        <v>1261</v>
      </c>
      <c r="AE166" t="s">
        <v>364</v>
      </c>
      <c r="AF166" t="s">
        <v>346</v>
      </c>
      <c r="AG166" t="s">
        <v>346</v>
      </c>
      <c r="AH166" t="s">
        <v>346</v>
      </c>
      <c r="AI166" t="s">
        <v>346</v>
      </c>
      <c r="AJ166" t="s">
        <v>339</v>
      </c>
      <c r="AK166">
        <v>136</v>
      </c>
      <c r="AL166" t="s">
        <v>377</v>
      </c>
      <c r="AM166" t="s">
        <v>347</v>
      </c>
      <c r="AN166" t="s">
        <v>348</v>
      </c>
      <c r="AO166" t="s">
        <v>367</v>
      </c>
      <c r="AP166" t="s">
        <v>350</v>
      </c>
      <c r="AQ166" t="s">
        <v>368</v>
      </c>
      <c r="AR166" t="s">
        <v>369</v>
      </c>
      <c r="AS166">
        <v>7500</v>
      </c>
      <c r="AT166" t="s">
        <v>367</v>
      </c>
      <c r="AU166" t="s">
        <v>367</v>
      </c>
      <c r="AV166" t="s">
        <v>367</v>
      </c>
      <c r="AW166" t="s">
        <v>349</v>
      </c>
      <c r="AX166" t="s">
        <v>349</v>
      </c>
      <c r="AY166" t="s">
        <v>349</v>
      </c>
      <c r="AZ166" t="s">
        <v>349</v>
      </c>
      <c r="BA166" t="s">
        <v>349</v>
      </c>
      <c r="BB166" t="s">
        <v>349</v>
      </c>
      <c r="BC166">
        <v>2.5</v>
      </c>
    </row>
    <row r="167" spans="1:55" ht="15" customHeight="1" x14ac:dyDescent="0.35">
      <c r="A167" t="s">
        <v>995</v>
      </c>
      <c r="B167" t="s">
        <v>1624</v>
      </c>
      <c r="C167" t="s">
        <v>224</v>
      </c>
      <c r="D167" t="s">
        <v>47</v>
      </c>
      <c r="E167">
        <v>2007</v>
      </c>
      <c r="F167" t="s">
        <v>225</v>
      </c>
      <c r="G167" t="s">
        <v>335</v>
      </c>
      <c r="H167" t="s">
        <v>335</v>
      </c>
      <c r="I167" t="s">
        <v>335</v>
      </c>
      <c r="J167" t="s">
        <v>339</v>
      </c>
      <c r="K167" t="s">
        <v>335</v>
      </c>
      <c r="L167" t="s">
        <v>335</v>
      </c>
      <c r="M167" t="s">
        <v>352</v>
      </c>
      <c r="N167" t="s">
        <v>352</v>
      </c>
      <c r="P167" t="s">
        <v>387</v>
      </c>
      <c r="Q167" t="s">
        <v>463</v>
      </c>
      <c r="R167" t="s">
        <v>787</v>
      </c>
      <c r="S167" t="s">
        <v>785</v>
      </c>
      <c r="T167" t="s">
        <v>348</v>
      </c>
      <c r="U167" t="s">
        <v>344</v>
      </c>
      <c r="V167">
        <v>27.09</v>
      </c>
      <c r="W167">
        <v>-81.11</v>
      </c>
      <c r="X167">
        <v>8</v>
      </c>
      <c r="Y167" t="s">
        <v>431</v>
      </c>
      <c r="Z167" t="s">
        <v>1703</v>
      </c>
      <c r="AA167" t="s">
        <v>393</v>
      </c>
      <c r="AB167" t="s">
        <v>393</v>
      </c>
      <c r="AC167" t="s">
        <v>1241</v>
      </c>
      <c r="AD167" t="s">
        <v>786</v>
      </c>
      <c r="AE167" t="s">
        <v>345</v>
      </c>
      <c r="AF167" t="s">
        <v>346</v>
      </c>
      <c r="AG167" t="s">
        <v>346</v>
      </c>
      <c r="AH167" t="s">
        <v>346</v>
      </c>
      <c r="AI167" t="s">
        <v>346</v>
      </c>
      <c r="AJ167" t="s">
        <v>592</v>
      </c>
      <c r="AK167">
        <v>209</v>
      </c>
      <c r="AL167" t="s">
        <v>377</v>
      </c>
      <c r="AM167" t="s">
        <v>347</v>
      </c>
      <c r="AN167" t="s">
        <v>348</v>
      </c>
      <c r="AO167" t="s">
        <v>367</v>
      </c>
      <c r="AP167" t="s">
        <v>350</v>
      </c>
      <c r="AQ167" t="s">
        <v>368</v>
      </c>
      <c r="AR167" t="s">
        <v>369</v>
      </c>
      <c r="AS167">
        <v>625</v>
      </c>
      <c r="AT167" t="s">
        <v>349</v>
      </c>
      <c r="AU167" t="s">
        <v>367</v>
      </c>
      <c r="AV167" t="s">
        <v>367</v>
      </c>
      <c r="AW167" t="s">
        <v>349</v>
      </c>
      <c r="AX167" t="s">
        <v>367</v>
      </c>
      <c r="AY167" t="s">
        <v>349</v>
      </c>
      <c r="AZ167" t="s">
        <v>349</v>
      </c>
      <c r="BA167" t="s">
        <v>349</v>
      </c>
      <c r="BB167" t="s">
        <v>367</v>
      </c>
      <c r="BC167">
        <v>3.5</v>
      </c>
    </row>
    <row r="168" spans="1:55" ht="15" customHeight="1" x14ac:dyDescent="0.35">
      <c r="A168" t="s">
        <v>1065</v>
      </c>
      <c r="B168" t="s">
        <v>1625</v>
      </c>
      <c r="C168" t="s">
        <v>1100</v>
      </c>
      <c r="D168" t="s">
        <v>81</v>
      </c>
      <c r="E168">
        <v>2009</v>
      </c>
      <c r="F168" t="s">
        <v>1101</v>
      </c>
      <c r="G168" t="s">
        <v>335</v>
      </c>
      <c r="H168" t="s">
        <v>335</v>
      </c>
      <c r="I168" t="s">
        <v>335</v>
      </c>
      <c r="J168" t="s">
        <v>339</v>
      </c>
      <c r="K168" t="s">
        <v>335</v>
      </c>
      <c r="L168" t="s">
        <v>335</v>
      </c>
      <c r="M168" t="s">
        <v>352</v>
      </c>
      <c r="N168" t="s">
        <v>335</v>
      </c>
      <c r="P168" t="s">
        <v>387</v>
      </c>
      <c r="Q168" t="s">
        <v>861</v>
      </c>
      <c r="R168" t="s">
        <v>862</v>
      </c>
      <c r="S168" t="s">
        <v>603</v>
      </c>
      <c r="T168" t="s">
        <v>1235</v>
      </c>
      <c r="U168" t="s">
        <v>1239</v>
      </c>
      <c r="V168">
        <v>46.554521999999999</v>
      </c>
      <c r="W168">
        <v>-115.322492</v>
      </c>
      <c r="X168">
        <v>1535</v>
      </c>
      <c r="Y168" t="s">
        <v>796</v>
      </c>
      <c r="AA168" t="s">
        <v>1236</v>
      </c>
      <c r="AB168" t="s">
        <v>384</v>
      </c>
      <c r="AC168" t="s">
        <v>1237</v>
      </c>
      <c r="AD168" t="s">
        <v>1149</v>
      </c>
      <c r="AE168" t="s">
        <v>364</v>
      </c>
      <c r="AF168" t="s">
        <v>346</v>
      </c>
      <c r="AG168" t="s">
        <v>346</v>
      </c>
      <c r="AH168" t="s">
        <v>346</v>
      </c>
      <c r="AI168" t="s">
        <v>346</v>
      </c>
      <c r="AJ168" t="s">
        <v>339</v>
      </c>
      <c r="AK168">
        <v>42</v>
      </c>
      <c r="AL168" t="s">
        <v>377</v>
      </c>
      <c r="AM168" t="s">
        <v>347</v>
      </c>
      <c r="AN168" t="s">
        <v>348</v>
      </c>
      <c r="AO168" t="s">
        <v>367</v>
      </c>
      <c r="AP168" t="s">
        <v>350</v>
      </c>
      <c r="AQ168" t="s">
        <v>368</v>
      </c>
      <c r="AR168" t="s">
        <v>369</v>
      </c>
      <c r="AS168">
        <v>998</v>
      </c>
      <c r="AT168" t="s">
        <v>367</v>
      </c>
      <c r="AU168" t="s">
        <v>367</v>
      </c>
      <c r="AV168" t="s">
        <v>367</v>
      </c>
      <c r="AW168" t="s">
        <v>349</v>
      </c>
      <c r="AX168" t="s">
        <v>367</v>
      </c>
      <c r="AY168" t="s">
        <v>349</v>
      </c>
      <c r="AZ168" t="s">
        <v>349</v>
      </c>
      <c r="BA168" t="s">
        <v>367</v>
      </c>
      <c r="BB168" t="s">
        <v>367</v>
      </c>
      <c r="BC168">
        <v>3</v>
      </c>
    </row>
    <row r="169" spans="1:55" ht="15" customHeight="1" x14ac:dyDescent="0.35">
      <c r="A169" t="s">
        <v>995</v>
      </c>
      <c r="B169" t="s">
        <v>1626</v>
      </c>
      <c r="C169" t="s">
        <v>226</v>
      </c>
      <c r="D169" t="s">
        <v>116</v>
      </c>
      <c r="E169">
        <v>2022</v>
      </c>
      <c r="F169" t="s">
        <v>227</v>
      </c>
      <c r="G169" t="s">
        <v>335</v>
      </c>
      <c r="H169" t="s">
        <v>335</v>
      </c>
      <c r="I169" t="s">
        <v>335</v>
      </c>
      <c r="J169" t="s">
        <v>339</v>
      </c>
      <c r="K169" t="s">
        <v>335</v>
      </c>
      <c r="L169" t="s">
        <v>335</v>
      </c>
      <c r="M169" t="s">
        <v>352</v>
      </c>
      <c r="N169" t="s">
        <v>352</v>
      </c>
      <c r="P169" t="s">
        <v>795</v>
      </c>
      <c r="Q169" t="s">
        <v>788</v>
      </c>
      <c r="R169" t="s">
        <v>789</v>
      </c>
      <c r="S169" t="s">
        <v>794</v>
      </c>
      <c r="T169" t="s">
        <v>1235</v>
      </c>
      <c r="U169" t="s">
        <v>639</v>
      </c>
      <c r="V169">
        <v>-0.50488</v>
      </c>
      <c r="W169">
        <v>-91.525440000000003</v>
      </c>
      <c r="X169">
        <v>750</v>
      </c>
      <c r="Y169" t="s">
        <v>790</v>
      </c>
      <c r="Z169" t="s">
        <v>1322</v>
      </c>
      <c r="AA169" t="s">
        <v>1247</v>
      </c>
      <c r="AB169" t="s">
        <v>400</v>
      </c>
      <c r="AC169" t="s">
        <v>366</v>
      </c>
      <c r="AD169" t="s">
        <v>1305</v>
      </c>
      <c r="AE169" t="s">
        <v>791</v>
      </c>
      <c r="AF169" t="s">
        <v>792</v>
      </c>
      <c r="AG169" t="s">
        <v>793</v>
      </c>
      <c r="AH169" t="s">
        <v>346</v>
      </c>
      <c r="AI169" t="s">
        <v>346</v>
      </c>
      <c r="AJ169" t="s">
        <v>592</v>
      </c>
      <c r="AK169">
        <v>84</v>
      </c>
      <c r="AL169" t="s">
        <v>377</v>
      </c>
      <c r="AM169" t="s">
        <v>347</v>
      </c>
      <c r="AN169" t="s">
        <v>348</v>
      </c>
      <c r="AO169" t="s">
        <v>367</v>
      </c>
      <c r="AP169" t="s">
        <v>386</v>
      </c>
      <c r="AQ169" t="s">
        <v>368</v>
      </c>
      <c r="AR169" t="s">
        <v>369</v>
      </c>
      <c r="AS169">
        <v>13</v>
      </c>
      <c r="AT169" t="s">
        <v>349</v>
      </c>
      <c r="AU169" t="s">
        <v>367</v>
      </c>
      <c r="AV169" t="s">
        <v>367</v>
      </c>
      <c r="AW169" t="s">
        <v>367</v>
      </c>
      <c r="AX169" t="s">
        <v>367</v>
      </c>
      <c r="AY169" t="s">
        <v>367</v>
      </c>
      <c r="AZ169" t="s">
        <v>367</v>
      </c>
      <c r="BA169" t="s">
        <v>367</v>
      </c>
      <c r="BB169" t="s">
        <v>367</v>
      </c>
      <c r="BC169">
        <v>3</v>
      </c>
    </row>
    <row r="170" spans="1:55" ht="15" customHeight="1" x14ac:dyDescent="0.35">
      <c r="A170" t="s">
        <v>995</v>
      </c>
      <c r="B170" t="s">
        <v>1627</v>
      </c>
      <c r="C170" t="s">
        <v>228</v>
      </c>
      <c r="D170" t="s">
        <v>108</v>
      </c>
      <c r="E170">
        <v>2007</v>
      </c>
      <c r="F170" t="s">
        <v>229</v>
      </c>
      <c r="G170" t="s">
        <v>335</v>
      </c>
      <c r="H170" t="s">
        <v>335</v>
      </c>
      <c r="I170" t="s">
        <v>335</v>
      </c>
      <c r="J170" t="s">
        <v>339</v>
      </c>
      <c r="K170" t="s">
        <v>335</v>
      </c>
      <c r="L170" t="s">
        <v>335</v>
      </c>
      <c r="M170" t="s">
        <v>352</v>
      </c>
      <c r="N170" t="s">
        <v>352</v>
      </c>
      <c r="P170" t="s">
        <v>480</v>
      </c>
      <c r="Q170" t="s">
        <v>481</v>
      </c>
      <c r="R170" t="s">
        <v>482</v>
      </c>
      <c r="S170" t="s">
        <v>1514</v>
      </c>
      <c r="T170" t="s">
        <v>348</v>
      </c>
      <c r="U170" t="s">
        <v>344</v>
      </c>
      <c r="V170">
        <v>47.659891000000002</v>
      </c>
      <c r="W170">
        <v>-107.841483</v>
      </c>
      <c r="X170">
        <v>760</v>
      </c>
      <c r="Y170" t="s">
        <v>796</v>
      </c>
      <c r="AA170" t="s">
        <v>1247</v>
      </c>
      <c r="AB170" t="s">
        <v>400</v>
      </c>
      <c r="AC170" t="s">
        <v>366</v>
      </c>
      <c r="AD170" t="s">
        <v>1323</v>
      </c>
      <c r="AE170" t="s">
        <v>364</v>
      </c>
      <c r="AF170">
        <v>-2.6230000000000002</v>
      </c>
      <c r="AG170">
        <v>0.73899999999999999</v>
      </c>
      <c r="AH170" t="s">
        <v>346</v>
      </c>
      <c r="AI170" t="s">
        <v>346</v>
      </c>
      <c r="AJ170" t="s">
        <v>592</v>
      </c>
      <c r="AK170">
        <v>258</v>
      </c>
      <c r="AL170" t="s">
        <v>377</v>
      </c>
      <c r="AM170" t="s">
        <v>347</v>
      </c>
      <c r="AN170" t="s">
        <v>348</v>
      </c>
      <c r="AO170" t="s">
        <v>349</v>
      </c>
      <c r="AP170" t="s">
        <v>355</v>
      </c>
      <c r="AQ170" t="s">
        <v>351</v>
      </c>
      <c r="AR170" t="s">
        <v>356</v>
      </c>
      <c r="AS170">
        <v>1950</v>
      </c>
      <c r="AT170" t="s">
        <v>349</v>
      </c>
      <c r="AU170" t="s">
        <v>349</v>
      </c>
      <c r="AV170" t="s">
        <v>367</v>
      </c>
      <c r="AW170" t="s">
        <v>367</v>
      </c>
      <c r="AX170" t="s">
        <v>367</v>
      </c>
      <c r="AY170" t="s">
        <v>367</v>
      </c>
      <c r="AZ170" t="s">
        <v>367</v>
      </c>
      <c r="BA170" t="s">
        <v>367</v>
      </c>
      <c r="BB170" t="s">
        <v>367</v>
      </c>
      <c r="BC170">
        <v>7.5</v>
      </c>
    </row>
    <row r="171" spans="1:55" ht="15" customHeight="1" x14ac:dyDescent="0.35">
      <c r="A171" t="s">
        <v>995</v>
      </c>
      <c r="B171" t="s">
        <v>1627</v>
      </c>
      <c r="C171" t="s">
        <v>228</v>
      </c>
      <c r="D171" t="s">
        <v>108</v>
      </c>
      <c r="E171">
        <v>2007</v>
      </c>
      <c r="F171" t="s">
        <v>229</v>
      </c>
      <c r="G171" t="s">
        <v>335</v>
      </c>
      <c r="H171" t="s">
        <v>335</v>
      </c>
      <c r="I171" t="s">
        <v>335</v>
      </c>
      <c r="J171" t="s">
        <v>339</v>
      </c>
      <c r="K171" t="s">
        <v>335</v>
      </c>
      <c r="L171" t="s">
        <v>335</v>
      </c>
      <c r="M171" t="s">
        <v>352</v>
      </c>
      <c r="N171" t="s">
        <v>352</v>
      </c>
      <c r="P171" t="s">
        <v>480</v>
      </c>
      <c r="Q171" t="s">
        <v>481</v>
      </c>
      <c r="R171" t="s">
        <v>482</v>
      </c>
      <c r="S171" t="s">
        <v>1514</v>
      </c>
      <c r="T171" t="s">
        <v>348</v>
      </c>
      <c r="U171" t="s">
        <v>344</v>
      </c>
      <c r="V171">
        <v>47.659891000000002</v>
      </c>
      <c r="W171">
        <v>-107.841483</v>
      </c>
      <c r="X171">
        <v>760</v>
      </c>
      <c r="Y171" t="s">
        <v>796</v>
      </c>
      <c r="AA171" t="s">
        <v>1247</v>
      </c>
      <c r="AB171" t="s">
        <v>400</v>
      </c>
      <c r="AC171" t="s">
        <v>366</v>
      </c>
      <c r="AD171" t="s">
        <v>433</v>
      </c>
      <c r="AE171" t="s">
        <v>345</v>
      </c>
      <c r="AF171">
        <v>7.2569999999999997</v>
      </c>
      <c r="AG171">
        <v>4.41</v>
      </c>
      <c r="AH171" t="s">
        <v>346</v>
      </c>
      <c r="AI171" t="s">
        <v>346</v>
      </c>
      <c r="AJ171" t="s">
        <v>592</v>
      </c>
      <c r="AK171">
        <v>258</v>
      </c>
      <c r="AL171" t="s">
        <v>377</v>
      </c>
      <c r="AM171" t="s">
        <v>366</v>
      </c>
      <c r="AN171" t="s">
        <v>348</v>
      </c>
      <c r="AO171" t="s">
        <v>349</v>
      </c>
      <c r="AP171" t="s">
        <v>355</v>
      </c>
      <c r="AQ171" t="s">
        <v>351</v>
      </c>
      <c r="AR171" t="s">
        <v>356</v>
      </c>
      <c r="AS171">
        <v>1950</v>
      </c>
      <c r="AT171" t="s">
        <v>349</v>
      </c>
      <c r="AU171" t="s">
        <v>349</v>
      </c>
      <c r="AV171" t="s">
        <v>367</v>
      </c>
      <c r="AW171" t="s">
        <v>367</v>
      </c>
      <c r="AX171" t="s">
        <v>367</v>
      </c>
      <c r="AY171" t="s">
        <v>367</v>
      </c>
      <c r="AZ171" t="s">
        <v>367</v>
      </c>
      <c r="BA171" t="s">
        <v>367</v>
      </c>
      <c r="BB171" t="s">
        <v>367</v>
      </c>
      <c r="BC171">
        <v>7.5</v>
      </c>
    </row>
    <row r="172" spans="1:55" ht="15" customHeight="1" x14ac:dyDescent="0.35">
      <c r="A172" t="s">
        <v>995</v>
      </c>
      <c r="B172" t="s">
        <v>1628</v>
      </c>
      <c r="C172" t="s">
        <v>230</v>
      </c>
      <c r="D172" t="s">
        <v>49</v>
      </c>
      <c r="E172">
        <v>2020</v>
      </c>
      <c r="F172" t="s">
        <v>231</v>
      </c>
      <c r="G172" t="s">
        <v>335</v>
      </c>
      <c r="H172" t="s">
        <v>335</v>
      </c>
      <c r="I172" t="s">
        <v>335</v>
      </c>
      <c r="J172" t="s">
        <v>339</v>
      </c>
      <c r="K172" t="s">
        <v>335</v>
      </c>
      <c r="L172" t="s">
        <v>335</v>
      </c>
      <c r="M172" t="s">
        <v>352</v>
      </c>
      <c r="N172" t="s">
        <v>335</v>
      </c>
      <c r="P172" t="s">
        <v>795</v>
      </c>
      <c r="Q172" t="s">
        <v>798</v>
      </c>
      <c r="R172" t="s">
        <v>799</v>
      </c>
      <c r="S172" t="s">
        <v>797</v>
      </c>
      <c r="T172" t="s">
        <v>1235</v>
      </c>
      <c r="U172" t="s">
        <v>639</v>
      </c>
      <c r="V172">
        <v>42.49</v>
      </c>
      <c r="W172">
        <v>-118.54</v>
      </c>
      <c r="X172">
        <v>1256</v>
      </c>
      <c r="Y172" t="s">
        <v>800</v>
      </c>
      <c r="Z172" t="s">
        <v>1324</v>
      </c>
      <c r="AA172" t="s">
        <v>1236</v>
      </c>
      <c r="AB172" t="s">
        <v>629</v>
      </c>
      <c r="AC172" t="s">
        <v>1241</v>
      </c>
      <c r="AD172" t="s">
        <v>1258</v>
      </c>
      <c r="AE172" t="s">
        <v>364</v>
      </c>
      <c r="AF172">
        <v>-0.14699999999999999</v>
      </c>
      <c r="AG172" t="s">
        <v>346</v>
      </c>
      <c r="AH172" t="s">
        <v>346</v>
      </c>
      <c r="AI172" t="s">
        <v>346</v>
      </c>
      <c r="AJ172" t="s">
        <v>801</v>
      </c>
      <c r="AK172">
        <v>10</v>
      </c>
      <c r="AL172" t="s">
        <v>807</v>
      </c>
      <c r="AM172" t="s">
        <v>347</v>
      </c>
      <c r="AN172" t="s">
        <v>348</v>
      </c>
      <c r="AO172" t="s">
        <v>349</v>
      </c>
      <c r="AP172" t="s">
        <v>386</v>
      </c>
      <c r="AQ172" t="s">
        <v>368</v>
      </c>
      <c r="AR172" t="s">
        <v>369</v>
      </c>
      <c r="AS172">
        <v>40</v>
      </c>
      <c r="AT172" t="s">
        <v>349</v>
      </c>
      <c r="AU172" t="s">
        <v>367</v>
      </c>
      <c r="AV172" t="s">
        <v>367</v>
      </c>
      <c r="AW172" t="s">
        <v>367</v>
      </c>
      <c r="AX172" t="s">
        <v>367</v>
      </c>
      <c r="AY172" t="s">
        <v>367</v>
      </c>
      <c r="AZ172" t="s">
        <v>367</v>
      </c>
      <c r="BA172" t="s">
        <v>367</v>
      </c>
      <c r="BB172" t="s">
        <v>367</v>
      </c>
      <c r="BC172">
        <v>3.5</v>
      </c>
    </row>
    <row r="173" spans="1:55" ht="15" customHeight="1" x14ac:dyDescent="0.35">
      <c r="A173" t="s">
        <v>995</v>
      </c>
      <c r="B173" t="s">
        <v>1628</v>
      </c>
      <c r="C173" t="s">
        <v>230</v>
      </c>
      <c r="D173" t="s">
        <v>49</v>
      </c>
      <c r="E173">
        <v>2020</v>
      </c>
      <c r="F173" t="s">
        <v>231</v>
      </c>
      <c r="G173" t="s">
        <v>335</v>
      </c>
      <c r="H173" t="s">
        <v>335</v>
      </c>
      <c r="I173" t="s">
        <v>335</v>
      </c>
      <c r="J173" t="s">
        <v>339</v>
      </c>
      <c r="K173" t="s">
        <v>335</v>
      </c>
      <c r="L173" t="s">
        <v>335</v>
      </c>
      <c r="M173" t="s">
        <v>352</v>
      </c>
      <c r="N173" t="s">
        <v>335</v>
      </c>
      <c r="P173" t="s">
        <v>795</v>
      </c>
      <c r="Q173" t="s">
        <v>798</v>
      </c>
      <c r="R173" t="s">
        <v>799</v>
      </c>
      <c r="S173" t="s">
        <v>797</v>
      </c>
      <c r="T173" t="s">
        <v>1235</v>
      </c>
      <c r="U173" t="s">
        <v>639</v>
      </c>
      <c r="V173">
        <v>42.49</v>
      </c>
      <c r="W173">
        <v>-118.54</v>
      </c>
      <c r="X173">
        <v>1256</v>
      </c>
      <c r="Y173" t="s">
        <v>800</v>
      </c>
      <c r="AA173" t="s">
        <v>1236</v>
      </c>
      <c r="AB173" t="s">
        <v>915</v>
      </c>
      <c r="AC173" t="s">
        <v>1241</v>
      </c>
      <c r="AD173" t="s">
        <v>1258</v>
      </c>
      <c r="AE173" t="s">
        <v>364</v>
      </c>
      <c r="AF173">
        <v>-2.9000000000000001E-2</v>
      </c>
      <c r="AG173" t="s">
        <v>346</v>
      </c>
      <c r="AH173" t="s">
        <v>346</v>
      </c>
      <c r="AI173" t="s">
        <v>346</v>
      </c>
      <c r="AJ173" t="s">
        <v>801</v>
      </c>
      <c r="AK173">
        <v>10</v>
      </c>
      <c r="AL173" t="s">
        <v>807</v>
      </c>
      <c r="AM173" t="s">
        <v>347</v>
      </c>
      <c r="AN173" t="s">
        <v>348</v>
      </c>
      <c r="AO173" t="s">
        <v>349</v>
      </c>
      <c r="AP173" t="s">
        <v>386</v>
      </c>
      <c r="AQ173" t="s">
        <v>368</v>
      </c>
      <c r="AR173" t="s">
        <v>369</v>
      </c>
      <c r="AS173">
        <v>40</v>
      </c>
      <c r="AT173" t="s">
        <v>349</v>
      </c>
      <c r="AU173" t="s">
        <v>367</v>
      </c>
      <c r="AV173" t="s">
        <v>367</v>
      </c>
      <c r="AW173" t="s">
        <v>367</v>
      </c>
      <c r="AX173" t="s">
        <v>367</v>
      </c>
      <c r="AY173" t="s">
        <v>367</v>
      </c>
      <c r="AZ173" t="s">
        <v>367</v>
      </c>
      <c r="BA173" t="s">
        <v>367</v>
      </c>
      <c r="BB173" t="s">
        <v>367</v>
      </c>
      <c r="BC173">
        <v>3.5</v>
      </c>
    </row>
    <row r="174" spans="1:55" ht="15" customHeight="1" x14ac:dyDescent="0.35">
      <c r="A174" t="s">
        <v>995</v>
      </c>
      <c r="B174" t="s">
        <v>1628</v>
      </c>
      <c r="C174" t="s">
        <v>230</v>
      </c>
      <c r="D174" t="s">
        <v>49</v>
      </c>
      <c r="E174">
        <v>2020</v>
      </c>
      <c r="F174" t="s">
        <v>231</v>
      </c>
      <c r="G174" t="s">
        <v>335</v>
      </c>
      <c r="H174" t="s">
        <v>335</v>
      </c>
      <c r="I174" t="s">
        <v>335</v>
      </c>
      <c r="J174" t="s">
        <v>339</v>
      </c>
      <c r="K174" t="s">
        <v>335</v>
      </c>
      <c r="L174" t="s">
        <v>335</v>
      </c>
      <c r="M174" t="s">
        <v>352</v>
      </c>
      <c r="N174" t="s">
        <v>335</v>
      </c>
      <c r="P174" t="s">
        <v>795</v>
      </c>
      <c r="Q174" t="s">
        <v>798</v>
      </c>
      <c r="R174" t="s">
        <v>799</v>
      </c>
      <c r="S174" t="s">
        <v>797</v>
      </c>
      <c r="T174" t="s">
        <v>1235</v>
      </c>
      <c r="U174" t="s">
        <v>639</v>
      </c>
      <c r="V174">
        <v>42.49</v>
      </c>
      <c r="W174">
        <v>-118.54</v>
      </c>
      <c r="X174">
        <v>1256</v>
      </c>
      <c r="Y174" t="s">
        <v>800</v>
      </c>
      <c r="AA174" t="s">
        <v>1236</v>
      </c>
      <c r="AB174" t="s">
        <v>629</v>
      </c>
      <c r="AC174" t="s">
        <v>1241</v>
      </c>
      <c r="AD174" t="s">
        <v>1258</v>
      </c>
      <c r="AE174" t="s">
        <v>345</v>
      </c>
      <c r="AF174">
        <v>0.21099999999999999</v>
      </c>
      <c r="AG174" t="s">
        <v>346</v>
      </c>
      <c r="AH174" t="s">
        <v>346</v>
      </c>
      <c r="AI174" t="s">
        <v>346</v>
      </c>
      <c r="AJ174" t="s">
        <v>801</v>
      </c>
      <c r="AK174">
        <v>10</v>
      </c>
      <c r="AL174" t="s">
        <v>807</v>
      </c>
      <c r="AM174" t="s">
        <v>347</v>
      </c>
      <c r="AN174" t="s">
        <v>348</v>
      </c>
      <c r="AO174" t="s">
        <v>349</v>
      </c>
      <c r="AP174" t="s">
        <v>386</v>
      </c>
      <c r="AQ174" t="s">
        <v>368</v>
      </c>
      <c r="AR174" t="s">
        <v>369</v>
      </c>
      <c r="AS174">
        <v>40</v>
      </c>
      <c r="AT174" t="s">
        <v>349</v>
      </c>
      <c r="AU174" t="s">
        <v>367</v>
      </c>
      <c r="AV174" t="s">
        <v>367</v>
      </c>
      <c r="AW174" t="s">
        <v>367</v>
      </c>
      <c r="AX174" t="s">
        <v>367</v>
      </c>
      <c r="AY174" t="s">
        <v>367</v>
      </c>
      <c r="AZ174" t="s">
        <v>367</v>
      </c>
      <c r="BA174" t="s">
        <v>367</v>
      </c>
      <c r="BB174" t="s">
        <v>367</v>
      </c>
      <c r="BC174">
        <v>3.5</v>
      </c>
    </row>
    <row r="175" spans="1:55" ht="15" customHeight="1" x14ac:dyDescent="0.35">
      <c r="A175" t="s">
        <v>995</v>
      </c>
      <c r="B175" t="s">
        <v>1628</v>
      </c>
      <c r="C175" t="s">
        <v>230</v>
      </c>
      <c r="D175" t="s">
        <v>49</v>
      </c>
      <c r="E175">
        <v>2020</v>
      </c>
      <c r="F175" t="s">
        <v>231</v>
      </c>
      <c r="G175" t="s">
        <v>335</v>
      </c>
      <c r="H175" t="s">
        <v>335</v>
      </c>
      <c r="I175" t="s">
        <v>335</v>
      </c>
      <c r="J175" t="s">
        <v>339</v>
      </c>
      <c r="K175" t="s">
        <v>335</v>
      </c>
      <c r="L175" t="s">
        <v>335</v>
      </c>
      <c r="M175" t="s">
        <v>352</v>
      </c>
      <c r="N175" t="s">
        <v>335</v>
      </c>
      <c r="P175" t="s">
        <v>795</v>
      </c>
      <c r="Q175" t="s">
        <v>798</v>
      </c>
      <c r="R175" t="s">
        <v>799</v>
      </c>
      <c r="S175" t="s">
        <v>797</v>
      </c>
      <c r="T175" t="s">
        <v>1235</v>
      </c>
      <c r="U175" t="s">
        <v>639</v>
      </c>
      <c r="V175">
        <v>42.49</v>
      </c>
      <c r="W175">
        <v>-118.54</v>
      </c>
      <c r="X175">
        <v>1256</v>
      </c>
      <c r="Y175" t="s">
        <v>800</v>
      </c>
      <c r="Z175" t="s">
        <v>1324</v>
      </c>
      <c r="AA175" t="s">
        <v>1236</v>
      </c>
      <c r="AB175" t="s">
        <v>915</v>
      </c>
      <c r="AC175" t="s">
        <v>1241</v>
      </c>
      <c r="AD175" t="s">
        <v>1258</v>
      </c>
      <c r="AE175" t="s">
        <v>345</v>
      </c>
      <c r="AF175">
        <v>0.224</v>
      </c>
      <c r="AG175" t="s">
        <v>346</v>
      </c>
      <c r="AH175" t="s">
        <v>346</v>
      </c>
      <c r="AI175" t="s">
        <v>346</v>
      </c>
      <c r="AJ175" t="s">
        <v>801</v>
      </c>
      <c r="AK175">
        <v>10</v>
      </c>
      <c r="AL175" t="s">
        <v>807</v>
      </c>
      <c r="AM175" t="s">
        <v>347</v>
      </c>
      <c r="AN175" t="s">
        <v>348</v>
      </c>
      <c r="AO175" t="s">
        <v>349</v>
      </c>
      <c r="AP175" t="s">
        <v>386</v>
      </c>
      <c r="AQ175" t="s">
        <v>368</v>
      </c>
      <c r="AR175" t="s">
        <v>369</v>
      </c>
      <c r="AS175">
        <v>40</v>
      </c>
      <c r="AT175" t="s">
        <v>349</v>
      </c>
      <c r="AU175" t="s">
        <v>367</v>
      </c>
      <c r="AV175" t="s">
        <v>367</v>
      </c>
      <c r="AW175" t="s">
        <v>367</v>
      </c>
      <c r="AX175" t="s">
        <v>367</v>
      </c>
      <c r="AY175" t="s">
        <v>367</v>
      </c>
      <c r="AZ175" t="s">
        <v>367</v>
      </c>
      <c r="BA175" t="s">
        <v>367</v>
      </c>
      <c r="BB175" t="s">
        <v>367</v>
      </c>
      <c r="BC175">
        <v>3.5</v>
      </c>
    </row>
    <row r="176" spans="1:55" ht="15" customHeight="1" x14ac:dyDescent="0.35">
      <c r="A176" t="s">
        <v>995</v>
      </c>
      <c r="B176" t="s">
        <v>1629</v>
      </c>
      <c r="C176" t="s">
        <v>232</v>
      </c>
      <c r="D176" t="s">
        <v>32</v>
      </c>
      <c r="E176">
        <v>2019</v>
      </c>
      <c r="F176" t="s">
        <v>233</v>
      </c>
      <c r="G176" t="s">
        <v>335</v>
      </c>
      <c r="H176" t="s">
        <v>335</v>
      </c>
      <c r="I176" t="s">
        <v>335</v>
      </c>
      <c r="J176" t="s">
        <v>339</v>
      </c>
      <c r="K176" t="s">
        <v>335</v>
      </c>
      <c r="L176" t="s">
        <v>335</v>
      </c>
      <c r="M176" t="s">
        <v>352</v>
      </c>
      <c r="N176" t="s">
        <v>352</v>
      </c>
      <c r="P176" t="s">
        <v>795</v>
      </c>
      <c r="Q176" t="s">
        <v>811</v>
      </c>
      <c r="R176" t="s">
        <v>812</v>
      </c>
      <c r="S176" t="s">
        <v>803</v>
      </c>
      <c r="T176" t="s">
        <v>1235</v>
      </c>
      <c r="U176" t="s">
        <v>1239</v>
      </c>
      <c r="V176">
        <v>35.839390000000002</v>
      </c>
      <c r="W176">
        <v>-106.28187699999999</v>
      </c>
      <c r="X176">
        <v>2052</v>
      </c>
      <c r="Y176" t="s">
        <v>806</v>
      </c>
      <c r="Z176" t="s">
        <v>863</v>
      </c>
      <c r="AA176" t="s">
        <v>1236</v>
      </c>
      <c r="AB176" t="s">
        <v>514</v>
      </c>
      <c r="AC176" t="s">
        <v>1241</v>
      </c>
      <c r="AD176" t="s">
        <v>809</v>
      </c>
      <c r="AE176" t="s">
        <v>364</v>
      </c>
      <c r="AF176">
        <v>0.17</v>
      </c>
      <c r="AG176">
        <v>1.01</v>
      </c>
      <c r="AH176" t="s">
        <v>346</v>
      </c>
      <c r="AI176" t="s">
        <v>346</v>
      </c>
      <c r="AJ176" t="s">
        <v>513</v>
      </c>
      <c r="AK176">
        <v>129</v>
      </c>
      <c r="AL176" t="s">
        <v>377</v>
      </c>
      <c r="AM176" t="s">
        <v>347</v>
      </c>
      <c r="AN176" t="s">
        <v>410</v>
      </c>
      <c r="AO176" t="s">
        <v>367</v>
      </c>
      <c r="AP176" t="s">
        <v>411</v>
      </c>
      <c r="AQ176" t="s">
        <v>368</v>
      </c>
      <c r="AR176" t="s">
        <v>369</v>
      </c>
      <c r="AS176">
        <v>28</v>
      </c>
      <c r="AT176" t="s">
        <v>349</v>
      </c>
      <c r="AU176" t="s">
        <v>367</v>
      </c>
      <c r="AV176" t="s">
        <v>349</v>
      </c>
      <c r="AW176" t="s">
        <v>349</v>
      </c>
      <c r="AX176" t="s">
        <v>367</v>
      </c>
      <c r="AY176" t="s">
        <v>367</v>
      </c>
      <c r="AZ176" t="s">
        <v>349</v>
      </c>
      <c r="BA176" t="s">
        <v>367</v>
      </c>
      <c r="BB176" t="s">
        <v>367</v>
      </c>
      <c r="BC176">
        <v>4</v>
      </c>
    </row>
    <row r="177" spans="1:55" ht="15" customHeight="1" x14ac:dyDescent="0.35">
      <c r="A177" t="s">
        <v>995</v>
      </c>
      <c r="B177" t="s">
        <v>1629</v>
      </c>
      <c r="C177" t="s">
        <v>232</v>
      </c>
      <c r="D177" t="s">
        <v>32</v>
      </c>
      <c r="E177">
        <v>2019</v>
      </c>
      <c r="F177" t="s">
        <v>233</v>
      </c>
      <c r="G177" t="s">
        <v>335</v>
      </c>
      <c r="H177" t="s">
        <v>335</v>
      </c>
      <c r="I177" t="s">
        <v>335</v>
      </c>
      <c r="J177" t="s">
        <v>339</v>
      </c>
      <c r="K177" t="s">
        <v>335</v>
      </c>
      <c r="L177" t="s">
        <v>335</v>
      </c>
      <c r="M177" t="s">
        <v>352</v>
      </c>
      <c r="N177" t="s">
        <v>352</v>
      </c>
      <c r="P177" t="s">
        <v>718</v>
      </c>
      <c r="Q177" t="s">
        <v>719</v>
      </c>
      <c r="R177" t="s">
        <v>810</v>
      </c>
      <c r="S177" t="s">
        <v>802</v>
      </c>
      <c r="T177" t="s">
        <v>1235</v>
      </c>
      <c r="U177" t="s">
        <v>1239</v>
      </c>
      <c r="V177">
        <v>35.839390000000002</v>
      </c>
      <c r="W177">
        <v>-106.28187699999999</v>
      </c>
      <c r="X177">
        <v>2052</v>
      </c>
      <c r="Y177" t="s">
        <v>805</v>
      </c>
      <c r="AA177" t="s">
        <v>1236</v>
      </c>
      <c r="AB177" t="s">
        <v>514</v>
      </c>
      <c r="AC177" t="s">
        <v>1241</v>
      </c>
      <c r="AD177" t="s">
        <v>759</v>
      </c>
      <c r="AE177" t="s">
        <v>364</v>
      </c>
      <c r="AF177">
        <v>-0.27</v>
      </c>
      <c r="AG177">
        <v>0.34</v>
      </c>
      <c r="AH177" t="s">
        <v>346</v>
      </c>
      <c r="AI177" t="s">
        <v>346</v>
      </c>
      <c r="AJ177" t="s">
        <v>513</v>
      </c>
      <c r="AK177">
        <v>569</v>
      </c>
      <c r="AL177" t="s">
        <v>377</v>
      </c>
      <c r="AM177" t="s">
        <v>347</v>
      </c>
      <c r="AN177" t="s">
        <v>410</v>
      </c>
      <c r="AO177" t="s">
        <v>367</v>
      </c>
      <c r="AP177" t="s">
        <v>411</v>
      </c>
      <c r="AQ177" t="s">
        <v>368</v>
      </c>
      <c r="AR177" t="s">
        <v>369</v>
      </c>
      <c r="AS177">
        <v>28</v>
      </c>
      <c r="AT177" t="s">
        <v>349</v>
      </c>
      <c r="AU177" t="s">
        <v>349</v>
      </c>
      <c r="AV177" t="s">
        <v>349</v>
      </c>
      <c r="AW177" t="s">
        <v>367</v>
      </c>
      <c r="AX177" t="s">
        <v>367</v>
      </c>
      <c r="AY177" t="s">
        <v>367</v>
      </c>
      <c r="AZ177" t="s">
        <v>367</v>
      </c>
      <c r="BA177" t="s">
        <v>367</v>
      </c>
      <c r="BB177" t="s">
        <v>367</v>
      </c>
      <c r="BC177">
        <v>5</v>
      </c>
    </row>
    <row r="178" spans="1:55" ht="15" customHeight="1" x14ac:dyDescent="0.35">
      <c r="A178" t="s">
        <v>995</v>
      </c>
      <c r="B178" t="s">
        <v>1629</v>
      </c>
      <c r="C178" t="s">
        <v>232</v>
      </c>
      <c r="D178" t="s">
        <v>32</v>
      </c>
      <c r="E178">
        <v>2019</v>
      </c>
      <c r="F178" t="s">
        <v>233</v>
      </c>
      <c r="G178" t="s">
        <v>335</v>
      </c>
      <c r="H178" t="s">
        <v>335</v>
      </c>
      <c r="I178" t="s">
        <v>335</v>
      </c>
      <c r="J178" t="s">
        <v>339</v>
      </c>
      <c r="K178" t="s">
        <v>335</v>
      </c>
      <c r="L178" t="s">
        <v>335</v>
      </c>
      <c r="M178" t="s">
        <v>352</v>
      </c>
      <c r="N178" t="s">
        <v>352</v>
      </c>
      <c r="P178" t="s">
        <v>718</v>
      </c>
      <c r="Q178" t="s">
        <v>719</v>
      </c>
      <c r="R178" t="s">
        <v>810</v>
      </c>
      <c r="S178" t="s">
        <v>802</v>
      </c>
      <c r="T178" t="s">
        <v>1235</v>
      </c>
      <c r="U178" t="s">
        <v>1239</v>
      </c>
      <c r="V178">
        <v>35.839390000000002</v>
      </c>
      <c r="W178">
        <v>-106.28187699999999</v>
      </c>
      <c r="X178">
        <v>2052</v>
      </c>
      <c r="Y178" t="s">
        <v>804</v>
      </c>
      <c r="AA178" t="s">
        <v>1236</v>
      </c>
      <c r="AB178" t="s">
        <v>514</v>
      </c>
      <c r="AC178" t="s">
        <v>1237</v>
      </c>
      <c r="AD178" t="s">
        <v>808</v>
      </c>
      <c r="AE178" t="s">
        <v>364</v>
      </c>
      <c r="AF178">
        <v>-0.43</v>
      </c>
      <c r="AG178">
        <v>0.17</v>
      </c>
      <c r="AH178" t="s">
        <v>346</v>
      </c>
      <c r="AI178" t="s">
        <v>346</v>
      </c>
      <c r="AJ178" t="s">
        <v>513</v>
      </c>
      <c r="AK178">
        <v>569</v>
      </c>
      <c r="AL178" t="s">
        <v>377</v>
      </c>
      <c r="AM178" t="s">
        <v>347</v>
      </c>
      <c r="AN178" t="s">
        <v>410</v>
      </c>
      <c r="AO178" t="s">
        <v>367</v>
      </c>
      <c r="AP178" t="s">
        <v>411</v>
      </c>
      <c r="AQ178" t="s">
        <v>368</v>
      </c>
      <c r="AR178" t="s">
        <v>369</v>
      </c>
      <c r="AS178">
        <v>28</v>
      </c>
      <c r="AT178" t="s">
        <v>349</v>
      </c>
      <c r="AU178" t="s">
        <v>349</v>
      </c>
      <c r="AV178" t="s">
        <v>349</v>
      </c>
      <c r="AW178" t="s">
        <v>367</v>
      </c>
      <c r="AX178" t="s">
        <v>367</v>
      </c>
      <c r="AY178" t="s">
        <v>367</v>
      </c>
      <c r="AZ178" t="s">
        <v>367</v>
      </c>
      <c r="BA178" t="s">
        <v>367</v>
      </c>
      <c r="BB178" t="s">
        <v>367</v>
      </c>
      <c r="BC178">
        <v>5</v>
      </c>
    </row>
    <row r="179" spans="1:55" ht="15" customHeight="1" x14ac:dyDescent="0.35">
      <c r="A179" t="s">
        <v>995</v>
      </c>
      <c r="B179" t="s">
        <v>1630</v>
      </c>
      <c r="C179" t="s">
        <v>234</v>
      </c>
      <c r="D179" t="s">
        <v>49</v>
      </c>
      <c r="E179">
        <v>2018</v>
      </c>
      <c r="F179" t="s">
        <v>235</v>
      </c>
      <c r="G179" t="s">
        <v>335</v>
      </c>
      <c r="H179" t="s">
        <v>335</v>
      </c>
      <c r="I179" t="s">
        <v>335</v>
      </c>
      <c r="J179" t="s">
        <v>339</v>
      </c>
      <c r="K179" t="s">
        <v>335</v>
      </c>
      <c r="L179" t="s">
        <v>335</v>
      </c>
      <c r="M179" t="s">
        <v>352</v>
      </c>
      <c r="N179" t="s">
        <v>352</v>
      </c>
      <c r="P179" t="s">
        <v>753</v>
      </c>
      <c r="Q179" t="s">
        <v>814</v>
      </c>
      <c r="R179" t="s">
        <v>815</v>
      </c>
      <c r="S179" t="s">
        <v>1516</v>
      </c>
      <c r="T179" t="s">
        <v>348</v>
      </c>
      <c r="U179" t="s">
        <v>344</v>
      </c>
      <c r="V179">
        <v>-0.53039999999999998</v>
      </c>
      <c r="W179">
        <v>36.245100000000001</v>
      </c>
      <c r="X179">
        <v>1890</v>
      </c>
      <c r="Y179" t="s">
        <v>813</v>
      </c>
      <c r="Z179" t="s">
        <v>1325</v>
      </c>
      <c r="AA179" t="s">
        <v>1247</v>
      </c>
      <c r="AB179" t="s">
        <v>400</v>
      </c>
      <c r="AC179" t="s">
        <v>1237</v>
      </c>
      <c r="AD179" t="s">
        <v>808</v>
      </c>
      <c r="AE179" t="s">
        <v>364</v>
      </c>
      <c r="AF179">
        <v>-4.0000000000000001E-3</v>
      </c>
      <c r="AG179">
        <v>1E-3</v>
      </c>
      <c r="AH179" t="s">
        <v>346</v>
      </c>
      <c r="AI179" t="s">
        <v>346</v>
      </c>
      <c r="AJ179" t="s">
        <v>513</v>
      </c>
      <c r="AK179">
        <v>848</v>
      </c>
      <c r="AL179" t="s">
        <v>377</v>
      </c>
      <c r="AM179" t="s">
        <v>347</v>
      </c>
      <c r="AN179" t="s">
        <v>348</v>
      </c>
      <c r="AO179" t="s">
        <v>349</v>
      </c>
      <c r="AP179" t="s">
        <v>386</v>
      </c>
      <c r="AQ179" t="s">
        <v>368</v>
      </c>
      <c r="AR179" t="s">
        <v>369</v>
      </c>
      <c r="AS179">
        <v>23</v>
      </c>
      <c r="AT179" t="s">
        <v>349</v>
      </c>
      <c r="AU179" t="s">
        <v>349</v>
      </c>
      <c r="AV179" t="s">
        <v>367</v>
      </c>
      <c r="AW179" t="s">
        <v>367</v>
      </c>
      <c r="AX179" t="s">
        <v>367</v>
      </c>
      <c r="AY179" t="s">
        <v>367</v>
      </c>
      <c r="AZ179" t="s">
        <v>367</v>
      </c>
      <c r="BA179" t="s">
        <v>367</v>
      </c>
      <c r="BB179" t="s">
        <v>367</v>
      </c>
      <c r="BC179">
        <v>2.5</v>
      </c>
    </row>
    <row r="180" spans="1:55" ht="15" customHeight="1" x14ac:dyDescent="0.35">
      <c r="A180" t="s">
        <v>995</v>
      </c>
      <c r="B180" t="s">
        <v>1631</v>
      </c>
      <c r="C180" t="s">
        <v>236</v>
      </c>
      <c r="D180" t="s">
        <v>237</v>
      </c>
      <c r="E180">
        <v>1997</v>
      </c>
      <c r="F180" t="s">
        <v>238</v>
      </c>
      <c r="G180" t="s">
        <v>335</v>
      </c>
      <c r="H180" t="s">
        <v>335</v>
      </c>
      <c r="I180" t="s">
        <v>335</v>
      </c>
      <c r="J180" t="s">
        <v>339</v>
      </c>
      <c r="K180" t="s">
        <v>335</v>
      </c>
      <c r="L180" t="s">
        <v>335</v>
      </c>
      <c r="M180" t="s">
        <v>352</v>
      </c>
      <c r="N180" t="s">
        <v>352</v>
      </c>
      <c r="P180" t="s">
        <v>818</v>
      </c>
      <c r="Q180" t="s">
        <v>819</v>
      </c>
      <c r="R180" t="s">
        <v>820</v>
      </c>
      <c r="S180" t="s">
        <v>822</v>
      </c>
      <c r="T180" t="s">
        <v>348</v>
      </c>
      <c r="U180" t="s">
        <v>344</v>
      </c>
      <c r="V180">
        <v>11.318365999999999</v>
      </c>
      <c r="W180">
        <v>14.679686999999999</v>
      </c>
      <c r="X180">
        <v>300</v>
      </c>
      <c r="Y180" t="s">
        <v>817</v>
      </c>
      <c r="AA180" t="s">
        <v>1236</v>
      </c>
      <c r="AB180" t="s">
        <v>457</v>
      </c>
      <c r="AC180" t="s">
        <v>1241</v>
      </c>
      <c r="AD180" t="s">
        <v>816</v>
      </c>
      <c r="AE180" t="s">
        <v>345</v>
      </c>
      <c r="AF180">
        <v>1E-3</v>
      </c>
      <c r="AG180" t="s">
        <v>346</v>
      </c>
      <c r="AH180" t="s">
        <v>346</v>
      </c>
      <c r="AI180" t="s">
        <v>346</v>
      </c>
      <c r="AJ180" t="s">
        <v>592</v>
      </c>
      <c r="AK180">
        <v>88</v>
      </c>
      <c r="AL180" t="s">
        <v>377</v>
      </c>
      <c r="AM180" t="s">
        <v>347</v>
      </c>
      <c r="AN180" t="s">
        <v>348</v>
      </c>
      <c r="AO180" t="s">
        <v>349</v>
      </c>
      <c r="AP180" t="s">
        <v>355</v>
      </c>
      <c r="AQ180" t="s">
        <v>351</v>
      </c>
      <c r="AR180" t="s">
        <v>369</v>
      </c>
      <c r="AS180">
        <v>1475</v>
      </c>
      <c r="AT180" t="s">
        <v>349</v>
      </c>
      <c r="AU180" t="s">
        <v>349</v>
      </c>
      <c r="AV180" t="s">
        <v>349</v>
      </c>
      <c r="AW180" t="s">
        <v>367</v>
      </c>
      <c r="AX180" t="s">
        <v>367</v>
      </c>
      <c r="AY180" t="s">
        <v>367</v>
      </c>
      <c r="AZ180" t="s">
        <v>367</v>
      </c>
      <c r="BA180" t="s">
        <v>367</v>
      </c>
      <c r="BB180" t="s">
        <v>367</v>
      </c>
      <c r="BC180">
        <v>9</v>
      </c>
    </row>
    <row r="181" spans="1:55" ht="15" customHeight="1" x14ac:dyDescent="0.35">
      <c r="A181" t="s">
        <v>995</v>
      </c>
      <c r="B181" t="s">
        <v>1632</v>
      </c>
      <c r="C181" t="s">
        <v>1388</v>
      </c>
      <c r="D181" t="s">
        <v>1389</v>
      </c>
      <c r="E181">
        <v>2022</v>
      </c>
      <c r="F181" t="s">
        <v>1390</v>
      </c>
      <c r="G181" t="s">
        <v>335</v>
      </c>
      <c r="H181" t="s">
        <v>352</v>
      </c>
      <c r="I181" t="s">
        <v>335</v>
      </c>
      <c r="J181" t="s">
        <v>339</v>
      </c>
      <c r="K181" t="s">
        <v>335</v>
      </c>
      <c r="L181" t="s">
        <v>352</v>
      </c>
      <c r="M181" t="s">
        <v>352</v>
      </c>
      <c r="N181" t="s">
        <v>352</v>
      </c>
      <c r="P181" t="s">
        <v>518</v>
      </c>
      <c r="Q181" t="s">
        <v>1462</v>
      </c>
      <c r="R181" t="s">
        <v>1463</v>
      </c>
      <c r="S181" t="s">
        <v>1460</v>
      </c>
      <c r="T181" t="s">
        <v>1235</v>
      </c>
      <c r="U181" t="s">
        <v>408</v>
      </c>
      <c r="V181">
        <v>51.866667</v>
      </c>
      <c r="W181">
        <v>-122.35</v>
      </c>
      <c r="X181">
        <v>1000</v>
      </c>
      <c r="Y181" t="s">
        <v>1461</v>
      </c>
      <c r="AA181" t="s">
        <v>1236</v>
      </c>
      <c r="AB181" t="s">
        <v>384</v>
      </c>
      <c r="AC181" t="s">
        <v>1241</v>
      </c>
      <c r="AD181" t="s">
        <v>1465</v>
      </c>
      <c r="AE181" t="s">
        <v>354</v>
      </c>
      <c r="AF181">
        <v>0.16</v>
      </c>
      <c r="AG181">
        <v>0.28999999999999998</v>
      </c>
      <c r="AH181" t="s">
        <v>346</v>
      </c>
      <c r="AI181" t="s">
        <v>346</v>
      </c>
      <c r="AJ181" t="s">
        <v>592</v>
      </c>
      <c r="AK181">
        <v>101</v>
      </c>
      <c r="AL181" t="s">
        <v>377</v>
      </c>
      <c r="AM181" t="s">
        <v>347</v>
      </c>
      <c r="AN181" t="s">
        <v>410</v>
      </c>
      <c r="AO181" t="s">
        <v>367</v>
      </c>
      <c r="AP181" t="s">
        <v>411</v>
      </c>
      <c r="AQ181" t="s">
        <v>368</v>
      </c>
      <c r="AR181" t="s">
        <v>369</v>
      </c>
      <c r="AS181">
        <v>11.5</v>
      </c>
      <c r="AT181" t="s">
        <v>349</v>
      </c>
      <c r="AU181" t="s">
        <v>349</v>
      </c>
      <c r="AV181" t="s">
        <v>367</v>
      </c>
      <c r="AW181" t="s">
        <v>367</v>
      </c>
      <c r="AX181" t="s">
        <v>367</v>
      </c>
      <c r="AY181" t="s">
        <v>367</v>
      </c>
      <c r="AZ181" t="s">
        <v>367</v>
      </c>
      <c r="BA181" t="s">
        <v>367</v>
      </c>
      <c r="BB181" t="s">
        <v>367</v>
      </c>
      <c r="BC181">
        <v>6</v>
      </c>
    </row>
    <row r="182" spans="1:55" ht="15" customHeight="1" x14ac:dyDescent="0.35">
      <c r="A182" t="s">
        <v>995</v>
      </c>
      <c r="B182" t="s">
        <v>1632</v>
      </c>
      <c r="C182" t="s">
        <v>1388</v>
      </c>
      <c r="D182" t="s">
        <v>1389</v>
      </c>
      <c r="E182">
        <v>2022</v>
      </c>
      <c r="F182" t="s">
        <v>1390</v>
      </c>
      <c r="G182" t="s">
        <v>335</v>
      </c>
      <c r="H182" t="s">
        <v>352</v>
      </c>
      <c r="I182" t="s">
        <v>335</v>
      </c>
      <c r="J182" t="s">
        <v>339</v>
      </c>
      <c r="K182" t="s">
        <v>335</v>
      </c>
      <c r="L182" t="s">
        <v>352</v>
      </c>
      <c r="M182" t="s">
        <v>352</v>
      </c>
      <c r="N182" t="s">
        <v>352</v>
      </c>
      <c r="P182" t="s">
        <v>518</v>
      </c>
      <c r="Q182" t="s">
        <v>1462</v>
      </c>
      <c r="R182" t="s">
        <v>1463</v>
      </c>
      <c r="S182" t="s">
        <v>1460</v>
      </c>
      <c r="T182" t="s">
        <v>1235</v>
      </c>
      <c r="U182" t="s">
        <v>408</v>
      </c>
      <c r="V182">
        <v>51.866667</v>
      </c>
      <c r="W182">
        <v>-122.35</v>
      </c>
      <c r="X182">
        <v>1000</v>
      </c>
      <c r="Y182" t="s">
        <v>1461</v>
      </c>
      <c r="AA182" t="s">
        <v>1236</v>
      </c>
      <c r="AB182" t="s">
        <v>384</v>
      </c>
      <c r="AC182" t="s">
        <v>1237</v>
      </c>
      <c r="AD182" t="s">
        <v>1464</v>
      </c>
      <c r="AE182" t="s">
        <v>354</v>
      </c>
      <c r="AF182">
        <v>-0.11</v>
      </c>
      <c r="AG182">
        <v>0.28000000000000003</v>
      </c>
      <c r="AH182" t="s">
        <v>346</v>
      </c>
      <c r="AI182" t="s">
        <v>346</v>
      </c>
      <c r="AJ182" t="s">
        <v>592</v>
      </c>
      <c r="AK182">
        <v>101</v>
      </c>
      <c r="AL182" t="s">
        <v>377</v>
      </c>
      <c r="AM182" t="s">
        <v>347</v>
      </c>
      <c r="AN182" t="s">
        <v>410</v>
      </c>
      <c r="AO182" t="s">
        <v>367</v>
      </c>
      <c r="AP182" t="s">
        <v>411</v>
      </c>
      <c r="AQ182" t="s">
        <v>368</v>
      </c>
      <c r="AR182" t="s">
        <v>369</v>
      </c>
      <c r="AS182">
        <v>11.5</v>
      </c>
      <c r="AT182" t="s">
        <v>349</v>
      </c>
      <c r="AU182" t="s">
        <v>349</v>
      </c>
      <c r="AV182" t="s">
        <v>367</v>
      </c>
      <c r="AW182" t="s">
        <v>367</v>
      </c>
      <c r="AX182" t="s">
        <v>367</v>
      </c>
      <c r="AY182" t="s">
        <v>367</v>
      </c>
      <c r="AZ182" t="s">
        <v>367</v>
      </c>
      <c r="BA182" t="s">
        <v>367</v>
      </c>
      <c r="BB182" t="s">
        <v>367</v>
      </c>
      <c r="BC182">
        <v>6</v>
      </c>
    </row>
    <row r="183" spans="1:55" ht="15" customHeight="1" x14ac:dyDescent="0.35">
      <c r="A183" t="s">
        <v>995</v>
      </c>
      <c r="B183" t="s">
        <v>1633</v>
      </c>
      <c r="C183" t="s">
        <v>239</v>
      </c>
      <c r="D183" t="s">
        <v>108</v>
      </c>
      <c r="E183">
        <v>2000</v>
      </c>
      <c r="F183" t="s">
        <v>240</v>
      </c>
      <c r="G183" t="s">
        <v>335</v>
      </c>
      <c r="H183" t="s">
        <v>335</v>
      </c>
      <c r="I183" t="s">
        <v>335</v>
      </c>
      <c r="J183" t="s">
        <v>339</v>
      </c>
      <c r="K183" t="s">
        <v>335</v>
      </c>
      <c r="L183" t="s">
        <v>335</v>
      </c>
      <c r="M183" t="s">
        <v>352</v>
      </c>
      <c r="N183" t="s">
        <v>335</v>
      </c>
      <c r="P183" t="s">
        <v>826</v>
      </c>
      <c r="Q183" t="s">
        <v>827</v>
      </c>
      <c r="R183" t="s">
        <v>828</v>
      </c>
      <c r="S183" t="s">
        <v>824</v>
      </c>
      <c r="T183" t="s">
        <v>1235</v>
      </c>
      <c r="U183" t="s">
        <v>1239</v>
      </c>
      <c r="V183">
        <v>37.042954000000002</v>
      </c>
      <c r="W183">
        <v>-119.10588799999999</v>
      </c>
      <c r="X183">
        <v>1100</v>
      </c>
      <c r="Y183" t="s">
        <v>825</v>
      </c>
      <c r="Z183" t="s">
        <v>1326</v>
      </c>
      <c r="AA183" t="s">
        <v>393</v>
      </c>
      <c r="AB183" t="s">
        <v>1141</v>
      </c>
      <c r="AC183" t="s">
        <v>1241</v>
      </c>
      <c r="AD183" t="s">
        <v>1258</v>
      </c>
      <c r="AE183" t="s">
        <v>354</v>
      </c>
      <c r="AF183" t="s">
        <v>346</v>
      </c>
      <c r="AG183" t="s">
        <v>346</v>
      </c>
      <c r="AH183" t="s">
        <v>346</v>
      </c>
      <c r="AI183" t="s">
        <v>346</v>
      </c>
      <c r="AJ183" t="s">
        <v>346</v>
      </c>
      <c r="AK183">
        <v>117</v>
      </c>
      <c r="AL183" t="s">
        <v>377</v>
      </c>
      <c r="AM183" t="s">
        <v>347</v>
      </c>
      <c r="AN183" t="s">
        <v>339</v>
      </c>
      <c r="AO183" t="s">
        <v>367</v>
      </c>
      <c r="AP183" t="s">
        <v>411</v>
      </c>
      <c r="AQ183" t="s">
        <v>368</v>
      </c>
      <c r="AR183" t="s">
        <v>369</v>
      </c>
      <c r="AS183">
        <v>623</v>
      </c>
      <c r="AT183" t="s">
        <v>367</v>
      </c>
      <c r="AU183" t="s">
        <v>367</v>
      </c>
      <c r="AV183" t="s">
        <v>367</v>
      </c>
      <c r="AW183" t="s">
        <v>349</v>
      </c>
      <c r="AX183" t="s">
        <v>367</v>
      </c>
      <c r="AY183" t="s">
        <v>367</v>
      </c>
      <c r="AZ183" t="s">
        <v>367</v>
      </c>
      <c r="BA183" t="s">
        <v>367</v>
      </c>
      <c r="BB183" t="s">
        <v>367</v>
      </c>
      <c r="BC183">
        <v>2</v>
      </c>
    </row>
    <row r="184" spans="1:55" ht="15" customHeight="1" x14ac:dyDescent="0.35">
      <c r="A184" t="s">
        <v>995</v>
      </c>
      <c r="B184" t="s">
        <v>1633</v>
      </c>
      <c r="C184" t="s">
        <v>239</v>
      </c>
      <c r="D184" t="s">
        <v>108</v>
      </c>
      <c r="E184">
        <v>2000</v>
      </c>
      <c r="F184" t="s">
        <v>240</v>
      </c>
      <c r="G184" t="s">
        <v>335</v>
      </c>
      <c r="H184" t="s">
        <v>335</v>
      </c>
      <c r="I184" t="s">
        <v>335</v>
      </c>
      <c r="J184" t="s">
        <v>339</v>
      </c>
      <c r="K184" t="s">
        <v>335</v>
      </c>
      <c r="L184" t="s">
        <v>335</v>
      </c>
      <c r="M184" t="s">
        <v>352</v>
      </c>
      <c r="N184" t="s">
        <v>335</v>
      </c>
      <c r="P184" t="s">
        <v>826</v>
      </c>
      <c r="Q184" t="s">
        <v>827</v>
      </c>
      <c r="R184" t="s">
        <v>828</v>
      </c>
      <c r="S184" t="s">
        <v>824</v>
      </c>
      <c r="T184" t="s">
        <v>1235</v>
      </c>
      <c r="U184" t="s">
        <v>1239</v>
      </c>
      <c r="V184">
        <v>37.042954000000002</v>
      </c>
      <c r="W184">
        <v>-119.10588799999999</v>
      </c>
      <c r="X184">
        <v>1100</v>
      </c>
      <c r="Y184" t="s">
        <v>825</v>
      </c>
      <c r="Z184" t="s">
        <v>1326</v>
      </c>
      <c r="AA184" t="s">
        <v>393</v>
      </c>
      <c r="AB184" t="s">
        <v>393</v>
      </c>
      <c r="AC184" t="s">
        <v>1241</v>
      </c>
      <c r="AD184" t="s">
        <v>1258</v>
      </c>
      <c r="AE184" t="s">
        <v>354</v>
      </c>
      <c r="AF184" t="s">
        <v>346</v>
      </c>
      <c r="AG184" t="s">
        <v>346</v>
      </c>
      <c r="AH184" t="s">
        <v>346</v>
      </c>
      <c r="AI184" t="s">
        <v>346</v>
      </c>
      <c r="AJ184" t="s">
        <v>346</v>
      </c>
      <c r="AK184">
        <v>117</v>
      </c>
      <c r="AL184" t="s">
        <v>377</v>
      </c>
      <c r="AM184" t="s">
        <v>347</v>
      </c>
      <c r="AN184" t="s">
        <v>339</v>
      </c>
      <c r="AO184" t="s">
        <v>367</v>
      </c>
      <c r="AP184" t="s">
        <v>411</v>
      </c>
      <c r="AQ184" t="s">
        <v>368</v>
      </c>
      <c r="AR184" t="s">
        <v>369</v>
      </c>
      <c r="AS184">
        <v>623</v>
      </c>
      <c r="AT184" t="s">
        <v>367</v>
      </c>
      <c r="AU184" t="s">
        <v>367</v>
      </c>
      <c r="AV184" t="s">
        <v>367</v>
      </c>
      <c r="AW184" t="s">
        <v>349</v>
      </c>
      <c r="AX184" t="s">
        <v>367</v>
      </c>
      <c r="AY184" t="s">
        <v>367</v>
      </c>
      <c r="AZ184" t="s">
        <v>367</v>
      </c>
      <c r="BA184" t="s">
        <v>367</v>
      </c>
      <c r="BB184" t="s">
        <v>367</v>
      </c>
      <c r="BC184">
        <v>2</v>
      </c>
    </row>
    <row r="185" spans="1:55" ht="15" customHeight="1" x14ac:dyDescent="0.35">
      <c r="A185" t="s">
        <v>995</v>
      </c>
      <c r="B185" t="s">
        <v>1634</v>
      </c>
      <c r="C185" t="s">
        <v>241</v>
      </c>
      <c r="D185" t="s">
        <v>32</v>
      </c>
      <c r="E185">
        <v>2015</v>
      </c>
      <c r="F185" t="s">
        <v>242</v>
      </c>
      <c r="G185" t="s">
        <v>335</v>
      </c>
      <c r="H185" t="s">
        <v>335</v>
      </c>
      <c r="I185" t="s">
        <v>335</v>
      </c>
      <c r="J185" t="s">
        <v>339</v>
      </c>
      <c r="K185" t="s">
        <v>335</v>
      </c>
      <c r="L185" t="s">
        <v>335</v>
      </c>
      <c r="M185" t="s">
        <v>352</v>
      </c>
      <c r="N185" t="s">
        <v>352</v>
      </c>
      <c r="P185" t="s">
        <v>836</v>
      </c>
      <c r="Q185" t="s">
        <v>833</v>
      </c>
      <c r="R185" t="s">
        <v>834</v>
      </c>
      <c r="S185" t="s">
        <v>832</v>
      </c>
      <c r="T185" t="s">
        <v>348</v>
      </c>
      <c r="U185" t="s">
        <v>344</v>
      </c>
      <c r="V185">
        <v>59.5</v>
      </c>
      <c r="W185">
        <v>17.5</v>
      </c>
      <c r="X185">
        <v>22</v>
      </c>
      <c r="Y185" t="s">
        <v>835</v>
      </c>
      <c r="Z185" t="s">
        <v>1327</v>
      </c>
      <c r="AA185" t="s">
        <v>1236</v>
      </c>
      <c r="AB185" t="s">
        <v>514</v>
      </c>
      <c r="AC185" t="s">
        <v>366</v>
      </c>
      <c r="AD185" t="s">
        <v>1301</v>
      </c>
      <c r="AE185" t="s">
        <v>791</v>
      </c>
      <c r="AF185" t="s">
        <v>829</v>
      </c>
      <c r="AG185" t="s">
        <v>830</v>
      </c>
      <c r="AH185" t="s">
        <v>346</v>
      </c>
      <c r="AI185" t="s">
        <v>346</v>
      </c>
      <c r="AJ185" t="s">
        <v>831</v>
      </c>
      <c r="AK185">
        <v>495</v>
      </c>
      <c r="AL185" t="s">
        <v>377</v>
      </c>
      <c r="AM185" t="s">
        <v>347</v>
      </c>
      <c r="AN185" t="s">
        <v>410</v>
      </c>
      <c r="AO185" t="s">
        <v>367</v>
      </c>
      <c r="AP185" t="s">
        <v>411</v>
      </c>
      <c r="AQ185" t="s">
        <v>368</v>
      </c>
      <c r="AR185" t="s">
        <v>369</v>
      </c>
      <c r="AS185">
        <v>26</v>
      </c>
      <c r="AT185" t="s">
        <v>349</v>
      </c>
      <c r="AU185" t="s">
        <v>367</v>
      </c>
      <c r="AV185" t="s">
        <v>349</v>
      </c>
      <c r="AW185" t="s">
        <v>367</v>
      </c>
      <c r="AX185" t="s">
        <v>367</v>
      </c>
      <c r="AY185" t="s">
        <v>367</v>
      </c>
      <c r="AZ185" t="s">
        <v>367</v>
      </c>
      <c r="BA185" t="s">
        <v>367</v>
      </c>
      <c r="BB185" t="s">
        <v>367</v>
      </c>
      <c r="BC185">
        <v>5</v>
      </c>
    </row>
    <row r="186" spans="1:55" ht="15" customHeight="1" x14ac:dyDescent="0.35">
      <c r="A186" t="s">
        <v>995</v>
      </c>
      <c r="B186" t="s">
        <v>1635</v>
      </c>
      <c r="C186" t="s">
        <v>1391</v>
      </c>
      <c r="D186" t="s">
        <v>200</v>
      </c>
      <c r="E186">
        <v>2023</v>
      </c>
      <c r="F186" t="s">
        <v>1392</v>
      </c>
      <c r="G186" t="s">
        <v>335</v>
      </c>
      <c r="H186" t="s">
        <v>352</v>
      </c>
      <c r="I186" t="s">
        <v>335</v>
      </c>
      <c r="J186" t="s">
        <v>339</v>
      </c>
      <c r="K186" t="s">
        <v>335</v>
      </c>
      <c r="L186" t="s">
        <v>352</v>
      </c>
      <c r="M186" t="s">
        <v>352</v>
      </c>
      <c r="N186" t="s">
        <v>352</v>
      </c>
      <c r="O186" t="s">
        <v>1474</v>
      </c>
      <c r="P186" t="s">
        <v>387</v>
      </c>
      <c r="Q186" t="s">
        <v>627</v>
      </c>
      <c r="R186" t="s">
        <v>1467</v>
      </c>
      <c r="S186" t="s">
        <v>1466</v>
      </c>
      <c r="T186" t="s">
        <v>1235</v>
      </c>
      <c r="U186" t="s">
        <v>408</v>
      </c>
      <c r="V186">
        <v>44.731994999999998</v>
      </c>
      <c r="W186">
        <v>142.239385</v>
      </c>
      <c r="X186">
        <v>300</v>
      </c>
      <c r="Y186" t="s">
        <v>977</v>
      </c>
      <c r="Z186" t="s">
        <v>1469</v>
      </c>
      <c r="AA186" t="s">
        <v>393</v>
      </c>
      <c r="AB186" t="s">
        <v>1470</v>
      </c>
      <c r="AC186" t="s">
        <v>1241</v>
      </c>
      <c r="AD186" t="s">
        <v>1471</v>
      </c>
      <c r="AE186" t="s">
        <v>345</v>
      </c>
      <c r="AF186">
        <v>0.01</v>
      </c>
      <c r="AG186">
        <v>4.0000000000000001E-3</v>
      </c>
      <c r="AH186" t="s">
        <v>346</v>
      </c>
      <c r="AI186" t="s">
        <v>346</v>
      </c>
      <c r="AJ186" t="s">
        <v>592</v>
      </c>
      <c r="AK186">
        <v>83</v>
      </c>
      <c r="AL186" t="s">
        <v>377</v>
      </c>
      <c r="AM186" t="s">
        <v>347</v>
      </c>
      <c r="AN186" t="s">
        <v>348</v>
      </c>
      <c r="AO186" t="s">
        <v>367</v>
      </c>
      <c r="AP186" t="s">
        <v>350</v>
      </c>
      <c r="AQ186" t="s">
        <v>368</v>
      </c>
      <c r="AR186" t="s">
        <v>369</v>
      </c>
      <c r="AS186">
        <v>5000</v>
      </c>
      <c r="AT186" t="s">
        <v>367</v>
      </c>
      <c r="AU186" t="s">
        <v>367</v>
      </c>
      <c r="AV186" t="s">
        <v>367</v>
      </c>
      <c r="AW186" t="s">
        <v>349</v>
      </c>
      <c r="AX186" t="s">
        <v>349</v>
      </c>
      <c r="AY186" t="s">
        <v>349</v>
      </c>
      <c r="AZ186" t="s">
        <v>367</v>
      </c>
      <c r="BA186" t="s">
        <v>367</v>
      </c>
      <c r="BB186" t="s">
        <v>367</v>
      </c>
      <c r="BC186">
        <v>1.5</v>
      </c>
    </row>
    <row r="187" spans="1:55" ht="15" customHeight="1" x14ac:dyDescent="0.35">
      <c r="A187" t="s">
        <v>995</v>
      </c>
      <c r="B187" t="s">
        <v>1635</v>
      </c>
      <c r="C187" t="s">
        <v>1391</v>
      </c>
      <c r="D187" t="s">
        <v>200</v>
      </c>
      <c r="E187">
        <v>2023</v>
      </c>
      <c r="F187" t="s">
        <v>1392</v>
      </c>
      <c r="G187" t="s">
        <v>335</v>
      </c>
      <c r="H187" t="s">
        <v>352</v>
      </c>
      <c r="I187" t="s">
        <v>335</v>
      </c>
      <c r="J187" t="s">
        <v>339</v>
      </c>
      <c r="K187" t="s">
        <v>335</v>
      </c>
      <c r="L187" t="s">
        <v>352</v>
      </c>
      <c r="M187" t="s">
        <v>352</v>
      </c>
      <c r="N187" t="s">
        <v>352</v>
      </c>
      <c r="O187" t="s">
        <v>1474</v>
      </c>
      <c r="P187" t="s">
        <v>387</v>
      </c>
      <c r="Q187" t="s">
        <v>627</v>
      </c>
      <c r="R187" t="s">
        <v>1467</v>
      </c>
      <c r="S187" t="s">
        <v>1466</v>
      </c>
      <c r="T187" t="s">
        <v>1235</v>
      </c>
      <c r="U187" t="s">
        <v>408</v>
      </c>
      <c r="V187">
        <v>44.731994999999998</v>
      </c>
      <c r="W187">
        <v>142.239385</v>
      </c>
      <c r="X187">
        <v>300</v>
      </c>
      <c r="Y187" t="s">
        <v>977</v>
      </c>
      <c r="Z187" t="s">
        <v>1469</v>
      </c>
      <c r="AA187" t="s">
        <v>393</v>
      </c>
      <c r="AB187" t="s">
        <v>1470</v>
      </c>
      <c r="AC187" t="s">
        <v>1241</v>
      </c>
      <c r="AD187" t="s">
        <v>1472</v>
      </c>
      <c r="AE187" t="s">
        <v>345</v>
      </c>
      <c r="AF187">
        <v>1.0999999999999999E-2</v>
      </c>
      <c r="AG187">
        <v>6.0000000000000001E-3</v>
      </c>
      <c r="AH187" t="s">
        <v>346</v>
      </c>
      <c r="AI187" t="s">
        <v>346</v>
      </c>
      <c r="AJ187" t="s">
        <v>592</v>
      </c>
      <c r="AK187">
        <v>83</v>
      </c>
      <c r="AL187" t="s">
        <v>377</v>
      </c>
      <c r="AM187" t="s">
        <v>347</v>
      </c>
      <c r="AN187" t="s">
        <v>348</v>
      </c>
      <c r="AO187" t="s">
        <v>367</v>
      </c>
      <c r="AP187" t="s">
        <v>350</v>
      </c>
      <c r="AQ187" t="s">
        <v>368</v>
      </c>
      <c r="AR187" t="s">
        <v>369</v>
      </c>
      <c r="AS187">
        <v>5000</v>
      </c>
      <c r="AT187" t="s">
        <v>367</v>
      </c>
      <c r="AU187" t="s">
        <v>367</v>
      </c>
      <c r="AV187" t="s">
        <v>367</v>
      </c>
      <c r="AW187" t="s">
        <v>349</v>
      </c>
      <c r="AX187" t="s">
        <v>349</v>
      </c>
      <c r="AY187" t="s">
        <v>349</v>
      </c>
      <c r="AZ187" t="s">
        <v>367</v>
      </c>
      <c r="BA187" t="s">
        <v>367</v>
      </c>
      <c r="BB187" t="s">
        <v>367</v>
      </c>
      <c r="BC187">
        <v>1.5</v>
      </c>
    </row>
    <row r="188" spans="1:55" ht="15" customHeight="1" x14ac:dyDescent="0.35">
      <c r="A188" t="s">
        <v>995</v>
      </c>
      <c r="B188" t="s">
        <v>1635</v>
      </c>
      <c r="C188" t="s">
        <v>1391</v>
      </c>
      <c r="D188" t="s">
        <v>200</v>
      </c>
      <c r="E188">
        <v>2023</v>
      </c>
      <c r="F188" t="s">
        <v>1392</v>
      </c>
      <c r="G188" t="s">
        <v>335</v>
      </c>
      <c r="H188" t="s">
        <v>352</v>
      </c>
      <c r="I188" t="s">
        <v>335</v>
      </c>
      <c r="J188" t="s">
        <v>339</v>
      </c>
      <c r="K188" t="s">
        <v>335</v>
      </c>
      <c r="L188" t="s">
        <v>352</v>
      </c>
      <c r="M188" t="s">
        <v>352</v>
      </c>
      <c r="N188" t="s">
        <v>352</v>
      </c>
      <c r="O188" t="s">
        <v>1474</v>
      </c>
      <c r="P188" t="s">
        <v>387</v>
      </c>
      <c r="Q188" t="s">
        <v>627</v>
      </c>
      <c r="R188" t="s">
        <v>1467</v>
      </c>
      <c r="S188" t="s">
        <v>1466</v>
      </c>
      <c r="T188" t="s">
        <v>1235</v>
      </c>
      <c r="U188" t="s">
        <v>408</v>
      </c>
      <c r="V188">
        <v>44.731994999999998</v>
      </c>
      <c r="W188">
        <v>142.239385</v>
      </c>
      <c r="X188">
        <v>300</v>
      </c>
      <c r="Y188" t="s">
        <v>977</v>
      </c>
      <c r="Z188" t="s">
        <v>1469</v>
      </c>
      <c r="AA188" t="s">
        <v>393</v>
      </c>
      <c r="AB188" t="s">
        <v>1470</v>
      </c>
      <c r="AC188" t="s">
        <v>1237</v>
      </c>
      <c r="AD188" t="s">
        <v>1473</v>
      </c>
      <c r="AE188" t="s">
        <v>364</v>
      </c>
      <c r="AF188">
        <v>-3.1E-2</v>
      </c>
      <c r="AG188">
        <v>7.0000000000000001E-3</v>
      </c>
      <c r="AH188" t="s">
        <v>346</v>
      </c>
      <c r="AI188" t="s">
        <v>346</v>
      </c>
      <c r="AJ188" t="s">
        <v>592</v>
      </c>
      <c r="AK188">
        <v>83</v>
      </c>
      <c r="AL188" t="s">
        <v>377</v>
      </c>
      <c r="AM188" t="s">
        <v>347</v>
      </c>
      <c r="AN188" t="s">
        <v>348</v>
      </c>
      <c r="AO188" t="s">
        <v>367</v>
      </c>
      <c r="AP188" t="s">
        <v>350</v>
      </c>
      <c r="AQ188" t="s">
        <v>368</v>
      </c>
      <c r="AR188" t="s">
        <v>369</v>
      </c>
      <c r="AS188">
        <v>5000</v>
      </c>
      <c r="AT188" t="s">
        <v>367</v>
      </c>
      <c r="AU188" t="s">
        <v>367</v>
      </c>
      <c r="AV188" t="s">
        <v>367</v>
      </c>
      <c r="AW188" t="s">
        <v>349</v>
      </c>
      <c r="AX188" t="s">
        <v>349</v>
      </c>
      <c r="AY188" t="s">
        <v>349</v>
      </c>
      <c r="AZ188" t="s">
        <v>367</v>
      </c>
      <c r="BA188" t="s">
        <v>367</v>
      </c>
      <c r="BB188" t="s">
        <v>367</v>
      </c>
      <c r="BC188">
        <v>1.5</v>
      </c>
    </row>
    <row r="189" spans="1:55" ht="15" customHeight="1" x14ac:dyDescent="0.35">
      <c r="A189" t="s">
        <v>1065</v>
      </c>
      <c r="B189" t="s">
        <v>1636</v>
      </c>
      <c r="C189" t="s">
        <v>1198</v>
      </c>
      <c r="G189" t="s">
        <v>335</v>
      </c>
      <c r="H189" t="s">
        <v>335</v>
      </c>
      <c r="I189" t="s">
        <v>335</v>
      </c>
      <c r="J189" t="s">
        <v>339</v>
      </c>
      <c r="K189" t="s">
        <v>335</v>
      </c>
      <c r="L189" t="s">
        <v>335</v>
      </c>
      <c r="M189" t="s">
        <v>352</v>
      </c>
      <c r="N189" t="s">
        <v>335</v>
      </c>
      <c r="P189" t="s">
        <v>826</v>
      </c>
      <c r="Q189" t="s">
        <v>1201</v>
      </c>
      <c r="R189" t="s">
        <v>1202</v>
      </c>
      <c r="S189" t="s">
        <v>1203</v>
      </c>
      <c r="T189" t="s">
        <v>1235</v>
      </c>
      <c r="U189" t="s">
        <v>665</v>
      </c>
      <c r="V189">
        <v>-29.014458000000001</v>
      </c>
      <c r="W189">
        <v>167.94087200000001</v>
      </c>
      <c r="X189">
        <v>638</v>
      </c>
      <c r="Y189" t="s">
        <v>1200</v>
      </c>
      <c r="Z189" t="s">
        <v>1199</v>
      </c>
      <c r="AA189" t="s">
        <v>393</v>
      </c>
      <c r="AB189" t="s">
        <v>393</v>
      </c>
      <c r="AC189" t="s">
        <v>1241</v>
      </c>
      <c r="AD189" t="s">
        <v>816</v>
      </c>
      <c r="AE189" t="s">
        <v>354</v>
      </c>
      <c r="AF189" t="s">
        <v>346</v>
      </c>
      <c r="AG189" t="s">
        <v>346</v>
      </c>
      <c r="AH189" t="s">
        <v>346</v>
      </c>
      <c r="AI189" t="s">
        <v>346</v>
      </c>
      <c r="AJ189" t="s">
        <v>339</v>
      </c>
      <c r="AK189" t="s">
        <v>346</v>
      </c>
      <c r="AL189" t="s">
        <v>339</v>
      </c>
      <c r="AM189" t="s">
        <v>347</v>
      </c>
      <c r="AN189" t="s">
        <v>410</v>
      </c>
      <c r="AO189" t="s">
        <v>367</v>
      </c>
      <c r="AP189" t="s">
        <v>411</v>
      </c>
      <c r="AQ189" t="s">
        <v>368</v>
      </c>
      <c r="AR189" t="s">
        <v>369</v>
      </c>
      <c r="AS189">
        <v>190</v>
      </c>
      <c r="AT189" t="s">
        <v>349</v>
      </c>
      <c r="AU189" t="s">
        <v>367</v>
      </c>
      <c r="AV189" t="s">
        <v>367</v>
      </c>
      <c r="AW189" t="s">
        <v>349</v>
      </c>
      <c r="AX189" t="s">
        <v>367</v>
      </c>
      <c r="AY189" t="s">
        <v>349</v>
      </c>
      <c r="AZ189" t="s">
        <v>367</v>
      </c>
      <c r="BA189" t="s">
        <v>367</v>
      </c>
      <c r="BB189" t="s">
        <v>367</v>
      </c>
      <c r="BC189">
        <v>2</v>
      </c>
    </row>
    <row r="190" spans="1:55" ht="15" customHeight="1" x14ac:dyDescent="0.35">
      <c r="A190" t="s">
        <v>995</v>
      </c>
      <c r="B190" t="s">
        <v>1637</v>
      </c>
      <c r="C190" t="s">
        <v>1698</v>
      </c>
      <c r="D190" t="s">
        <v>18</v>
      </c>
      <c r="E190">
        <v>2012</v>
      </c>
      <c r="F190" t="s">
        <v>243</v>
      </c>
      <c r="G190" t="s">
        <v>335</v>
      </c>
      <c r="H190" t="s">
        <v>335</v>
      </c>
      <c r="I190" t="s">
        <v>335</v>
      </c>
      <c r="J190" t="s">
        <v>339</v>
      </c>
      <c r="K190" t="s">
        <v>335</v>
      </c>
      <c r="L190" t="s">
        <v>335</v>
      </c>
      <c r="M190" t="s">
        <v>352</v>
      </c>
      <c r="N190" t="s">
        <v>335</v>
      </c>
      <c r="P190" t="s">
        <v>581</v>
      </c>
      <c r="Q190" t="s">
        <v>582</v>
      </c>
      <c r="R190" t="s">
        <v>443</v>
      </c>
      <c r="S190" t="s">
        <v>444</v>
      </c>
      <c r="T190" t="s">
        <v>1235</v>
      </c>
      <c r="U190" t="s">
        <v>1239</v>
      </c>
      <c r="V190">
        <v>39.14</v>
      </c>
      <c r="W190">
        <v>28.1</v>
      </c>
      <c r="X190">
        <v>830</v>
      </c>
      <c r="Y190" t="s">
        <v>837</v>
      </c>
      <c r="Z190" t="s">
        <v>1328</v>
      </c>
      <c r="AA190" t="s">
        <v>1236</v>
      </c>
      <c r="AB190" t="s">
        <v>457</v>
      </c>
      <c r="AC190" t="s">
        <v>1237</v>
      </c>
      <c r="AD190" t="s">
        <v>1261</v>
      </c>
      <c r="AE190" t="s">
        <v>364</v>
      </c>
      <c r="AF190">
        <v>-0.55700000000000005</v>
      </c>
      <c r="AG190" t="s">
        <v>346</v>
      </c>
      <c r="AH190" t="s">
        <v>346</v>
      </c>
      <c r="AI190" t="s">
        <v>346</v>
      </c>
      <c r="AJ190" t="s">
        <v>838</v>
      </c>
      <c r="AK190">
        <v>19</v>
      </c>
      <c r="AL190" t="s">
        <v>377</v>
      </c>
      <c r="AM190" t="s">
        <v>347</v>
      </c>
      <c r="AN190" t="s">
        <v>348</v>
      </c>
      <c r="AO190" t="s">
        <v>367</v>
      </c>
      <c r="AP190" t="s">
        <v>350</v>
      </c>
      <c r="AQ190" t="s">
        <v>368</v>
      </c>
      <c r="AR190" t="s">
        <v>369</v>
      </c>
      <c r="AS190">
        <v>3338</v>
      </c>
      <c r="AT190" t="s">
        <v>349</v>
      </c>
      <c r="AU190" t="s">
        <v>367</v>
      </c>
      <c r="AV190" t="s">
        <v>367</v>
      </c>
      <c r="AW190" t="s">
        <v>349</v>
      </c>
      <c r="AX190" t="s">
        <v>349</v>
      </c>
      <c r="AY190" t="s">
        <v>367</v>
      </c>
      <c r="AZ190" t="s">
        <v>349</v>
      </c>
      <c r="BA190" t="s">
        <v>349</v>
      </c>
      <c r="BB190" t="s">
        <v>349</v>
      </c>
      <c r="BC190">
        <v>4</v>
      </c>
    </row>
    <row r="191" spans="1:55" ht="15" customHeight="1" x14ac:dyDescent="0.35">
      <c r="A191" t="s">
        <v>995</v>
      </c>
      <c r="B191" t="s">
        <v>1637</v>
      </c>
      <c r="C191" t="s">
        <v>1698</v>
      </c>
      <c r="D191" t="s">
        <v>18</v>
      </c>
      <c r="E191">
        <v>2012</v>
      </c>
      <c r="F191" t="s">
        <v>243</v>
      </c>
      <c r="G191" t="s">
        <v>335</v>
      </c>
      <c r="H191" t="s">
        <v>335</v>
      </c>
      <c r="I191" t="s">
        <v>335</v>
      </c>
      <c r="J191" t="s">
        <v>339</v>
      </c>
      <c r="K191" t="s">
        <v>335</v>
      </c>
      <c r="L191" t="s">
        <v>335</v>
      </c>
      <c r="M191" t="s">
        <v>352</v>
      </c>
      <c r="N191" t="s">
        <v>335</v>
      </c>
      <c r="P191" t="s">
        <v>581</v>
      </c>
      <c r="Q191" t="s">
        <v>582</v>
      </c>
      <c r="R191" t="s">
        <v>443</v>
      </c>
      <c r="S191" t="s">
        <v>444</v>
      </c>
      <c r="T191" t="s">
        <v>1235</v>
      </c>
      <c r="U191" t="s">
        <v>1239</v>
      </c>
      <c r="V191">
        <v>39.14</v>
      </c>
      <c r="W191">
        <v>28.1</v>
      </c>
      <c r="X191">
        <v>830</v>
      </c>
      <c r="Y191" t="s">
        <v>837</v>
      </c>
      <c r="Z191" t="s">
        <v>1329</v>
      </c>
      <c r="AA191" t="s">
        <v>1236</v>
      </c>
      <c r="AB191" t="s">
        <v>457</v>
      </c>
      <c r="AC191" t="s">
        <v>1237</v>
      </c>
      <c r="AD191" t="s">
        <v>1261</v>
      </c>
      <c r="AE191" t="s">
        <v>364</v>
      </c>
      <c r="AF191">
        <v>-0.48299999999999998</v>
      </c>
      <c r="AG191" t="s">
        <v>346</v>
      </c>
      <c r="AH191" t="s">
        <v>346</v>
      </c>
      <c r="AI191" t="s">
        <v>346</v>
      </c>
      <c r="AJ191" t="s">
        <v>838</v>
      </c>
      <c r="AK191">
        <v>19</v>
      </c>
      <c r="AL191" t="s">
        <v>377</v>
      </c>
      <c r="AM191" t="s">
        <v>347</v>
      </c>
      <c r="AN191" t="s">
        <v>348</v>
      </c>
      <c r="AO191" t="s">
        <v>367</v>
      </c>
      <c r="AP191" t="s">
        <v>350</v>
      </c>
      <c r="AQ191" t="s">
        <v>368</v>
      </c>
      <c r="AR191" t="s">
        <v>369</v>
      </c>
      <c r="AS191">
        <v>3338</v>
      </c>
      <c r="AT191" t="s">
        <v>349</v>
      </c>
      <c r="AU191" t="s">
        <v>367</v>
      </c>
      <c r="AV191" t="s">
        <v>367</v>
      </c>
      <c r="AW191" t="s">
        <v>349</v>
      </c>
      <c r="AX191" t="s">
        <v>349</v>
      </c>
      <c r="AY191" t="s">
        <v>367</v>
      </c>
      <c r="AZ191" t="s">
        <v>349</v>
      </c>
      <c r="BA191" t="s">
        <v>349</v>
      </c>
      <c r="BB191" t="s">
        <v>349</v>
      </c>
      <c r="BC191">
        <v>4</v>
      </c>
    </row>
    <row r="192" spans="1:55" ht="15" customHeight="1" x14ac:dyDescent="0.35">
      <c r="A192" t="s">
        <v>995</v>
      </c>
      <c r="B192" t="s">
        <v>1638</v>
      </c>
      <c r="C192" t="s">
        <v>244</v>
      </c>
      <c r="D192" t="s">
        <v>60</v>
      </c>
      <c r="E192">
        <v>2013</v>
      </c>
      <c r="F192" s="6" t="s">
        <v>245</v>
      </c>
      <c r="G192" t="s">
        <v>335</v>
      </c>
      <c r="H192" t="s">
        <v>335</v>
      </c>
      <c r="I192" t="s">
        <v>335</v>
      </c>
      <c r="J192" t="s">
        <v>339</v>
      </c>
      <c r="K192" t="s">
        <v>335</v>
      </c>
      <c r="L192" t="s">
        <v>335</v>
      </c>
      <c r="M192" t="s">
        <v>352</v>
      </c>
      <c r="N192" t="s">
        <v>352</v>
      </c>
      <c r="P192" t="s">
        <v>765</v>
      </c>
      <c r="Q192" t="s">
        <v>840</v>
      </c>
      <c r="R192" t="s">
        <v>841</v>
      </c>
      <c r="S192" t="s">
        <v>839</v>
      </c>
      <c r="T192" t="s">
        <v>1235</v>
      </c>
      <c r="U192" t="s">
        <v>665</v>
      </c>
      <c r="V192">
        <v>16.45</v>
      </c>
      <c r="W192">
        <v>-62.12</v>
      </c>
      <c r="X192">
        <v>350</v>
      </c>
      <c r="Y192" t="s">
        <v>842</v>
      </c>
      <c r="AA192" t="s">
        <v>1236</v>
      </c>
      <c r="AB192" t="s">
        <v>384</v>
      </c>
      <c r="AC192" t="s">
        <v>1241</v>
      </c>
      <c r="AD192" t="s">
        <v>843</v>
      </c>
      <c r="AE192" t="s">
        <v>354</v>
      </c>
      <c r="AF192">
        <v>5.0000000000000001E-4</v>
      </c>
      <c r="AG192">
        <v>6.9999999999999999E-4</v>
      </c>
      <c r="AH192" t="s">
        <v>346</v>
      </c>
      <c r="AI192" t="s">
        <v>346</v>
      </c>
      <c r="AJ192" t="s">
        <v>592</v>
      </c>
      <c r="AK192">
        <v>287</v>
      </c>
      <c r="AL192" t="s">
        <v>417</v>
      </c>
      <c r="AM192" t="s">
        <v>339</v>
      </c>
      <c r="AN192" t="s">
        <v>410</v>
      </c>
      <c r="AO192" t="s">
        <v>367</v>
      </c>
      <c r="AP192" t="s">
        <v>768</v>
      </c>
      <c r="AQ192" t="s">
        <v>368</v>
      </c>
      <c r="AR192" t="s">
        <v>369</v>
      </c>
      <c r="AS192">
        <v>37</v>
      </c>
      <c r="AT192" t="s">
        <v>349</v>
      </c>
      <c r="AU192" t="s">
        <v>349</v>
      </c>
      <c r="AV192" t="s">
        <v>349</v>
      </c>
      <c r="AW192" t="s">
        <v>367</v>
      </c>
      <c r="AX192" t="s">
        <v>367</v>
      </c>
      <c r="AY192" t="s">
        <v>367</v>
      </c>
      <c r="AZ192" t="s">
        <v>367</v>
      </c>
      <c r="BA192" t="s">
        <v>367</v>
      </c>
      <c r="BB192" t="s">
        <v>367</v>
      </c>
      <c r="BC192">
        <v>2.5</v>
      </c>
    </row>
    <row r="193" spans="1:55" ht="15" customHeight="1" x14ac:dyDescent="0.35">
      <c r="A193" t="s">
        <v>995</v>
      </c>
      <c r="B193" t="s">
        <v>1638</v>
      </c>
      <c r="C193" t="s">
        <v>244</v>
      </c>
      <c r="D193" t="s">
        <v>60</v>
      </c>
      <c r="E193">
        <v>2013</v>
      </c>
      <c r="F193" s="6" t="s">
        <v>245</v>
      </c>
      <c r="G193" t="s">
        <v>335</v>
      </c>
      <c r="H193" t="s">
        <v>335</v>
      </c>
      <c r="I193" t="s">
        <v>335</v>
      </c>
      <c r="J193" t="s">
        <v>339</v>
      </c>
      <c r="K193" t="s">
        <v>335</v>
      </c>
      <c r="L193" t="s">
        <v>335</v>
      </c>
      <c r="M193" t="s">
        <v>352</v>
      </c>
      <c r="N193" t="s">
        <v>352</v>
      </c>
      <c r="P193" t="s">
        <v>765</v>
      </c>
      <c r="Q193" t="s">
        <v>840</v>
      </c>
      <c r="R193" t="s">
        <v>841</v>
      </c>
      <c r="S193" t="s">
        <v>839</v>
      </c>
      <c r="T193" t="s">
        <v>1235</v>
      </c>
      <c r="U193" t="s">
        <v>665</v>
      </c>
      <c r="V193">
        <v>16.45</v>
      </c>
      <c r="W193">
        <v>-62.12</v>
      </c>
      <c r="X193">
        <v>350</v>
      </c>
      <c r="Y193" t="s">
        <v>842</v>
      </c>
      <c r="AA193" t="s">
        <v>393</v>
      </c>
      <c r="AB193" t="s">
        <v>1141</v>
      </c>
      <c r="AC193" t="s">
        <v>1241</v>
      </c>
      <c r="AD193" t="s">
        <v>843</v>
      </c>
      <c r="AE193" t="s">
        <v>354</v>
      </c>
      <c r="AF193">
        <v>0.94</v>
      </c>
      <c r="AG193" t="s">
        <v>346</v>
      </c>
      <c r="AH193" t="s">
        <v>346</v>
      </c>
      <c r="AI193" t="s">
        <v>346</v>
      </c>
      <c r="AJ193" t="s">
        <v>838</v>
      </c>
      <c r="AK193">
        <v>287</v>
      </c>
      <c r="AL193" t="s">
        <v>417</v>
      </c>
      <c r="AM193" t="s">
        <v>339</v>
      </c>
      <c r="AN193" t="s">
        <v>410</v>
      </c>
      <c r="AO193" t="s">
        <v>367</v>
      </c>
      <c r="AP193" t="s">
        <v>768</v>
      </c>
      <c r="AQ193" t="s">
        <v>368</v>
      </c>
      <c r="AR193" t="s">
        <v>369</v>
      </c>
      <c r="AS193">
        <v>37</v>
      </c>
      <c r="AT193" t="s">
        <v>349</v>
      </c>
      <c r="AU193" t="s">
        <v>349</v>
      </c>
      <c r="AV193" t="s">
        <v>349</v>
      </c>
      <c r="AW193" t="s">
        <v>367</v>
      </c>
      <c r="AX193" t="s">
        <v>367</v>
      </c>
      <c r="AY193" t="s">
        <v>367</v>
      </c>
      <c r="AZ193" t="s">
        <v>367</v>
      </c>
      <c r="BA193" t="s">
        <v>367</v>
      </c>
      <c r="BB193" t="s">
        <v>367</v>
      </c>
      <c r="BC193">
        <v>2.5</v>
      </c>
    </row>
    <row r="194" spans="1:55" ht="15" customHeight="1" x14ac:dyDescent="0.35">
      <c r="A194" t="s">
        <v>995</v>
      </c>
      <c r="B194" t="s">
        <v>1638</v>
      </c>
      <c r="C194" t="s">
        <v>244</v>
      </c>
      <c r="D194" t="s">
        <v>60</v>
      </c>
      <c r="E194">
        <v>2013</v>
      </c>
      <c r="F194" s="6" t="s">
        <v>245</v>
      </c>
      <c r="G194" t="s">
        <v>335</v>
      </c>
      <c r="H194" t="s">
        <v>335</v>
      </c>
      <c r="I194" t="s">
        <v>335</v>
      </c>
      <c r="J194" t="s">
        <v>339</v>
      </c>
      <c r="K194" t="s">
        <v>335</v>
      </c>
      <c r="L194" t="s">
        <v>335</v>
      </c>
      <c r="M194" t="s">
        <v>352</v>
      </c>
      <c r="N194" t="s">
        <v>352</v>
      </c>
      <c r="P194" t="s">
        <v>765</v>
      </c>
      <c r="Q194" t="s">
        <v>840</v>
      </c>
      <c r="R194" t="s">
        <v>841</v>
      </c>
      <c r="S194" t="s">
        <v>839</v>
      </c>
      <c r="T194" t="s">
        <v>1235</v>
      </c>
      <c r="U194" t="s">
        <v>665</v>
      </c>
      <c r="V194">
        <v>16.45</v>
      </c>
      <c r="W194">
        <v>-62.12</v>
      </c>
      <c r="X194">
        <v>350</v>
      </c>
      <c r="Y194" t="s">
        <v>842</v>
      </c>
      <c r="Z194" t="s">
        <v>1330</v>
      </c>
      <c r="AA194" t="s">
        <v>393</v>
      </c>
      <c r="AB194" t="s">
        <v>393</v>
      </c>
      <c r="AC194" t="s">
        <v>1241</v>
      </c>
      <c r="AD194" t="s">
        <v>843</v>
      </c>
      <c r="AE194" t="s">
        <v>345</v>
      </c>
      <c r="AF194">
        <v>3.0000000000000001E-3</v>
      </c>
      <c r="AG194">
        <v>1E-3</v>
      </c>
      <c r="AH194" t="s">
        <v>346</v>
      </c>
      <c r="AI194" t="s">
        <v>346</v>
      </c>
      <c r="AJ194" t="s">
        <v>592</v>
      </c>
      <c r="AK194">
        <v>287</v>
      </c>
      <c r="AL194" t="s">
        <v>417</v>
      </c>
      <c r="AM194" t="s">
        <v>347</v>
      </c>
      <c r="AN194" t="s">
        <v>410</v>
      </c>
      <c r="AO194" t="s">
        <v>367</v>
      </c>
      <c r="AP194" t="s">
        <v>768</v>
      </c>
      <c r="AQ194" t="s">
        <v>368</v>
      </c>
      <c r="AR194" t="s">
        <v>369</v>
      </c>
      <c r="AS194">
        <v>37</v>
      </c>
      <c r="AT194" t="s">
        <v>349</v>
      </c>
      <c r="AU194" t="s">
        <v>349</v>
      </c>
      <c r="AV194" t="s">
        <v>349</v>
      </c>
      <c r="AW194" t="s">
        <v>367</v>
      </c>
      <c r="AX194" t="s">
        <v>367</v>
      </c>
      <c r="AY194" t="s">
        <v>367</v>
      </c>
      <c r="AZ194" t="s">
        <v>367</v>
      </c>
      <c r="BA194" t="s">
        <v>367</v>
      </c>
      <c r="BB194" t="s">
        <v>367</v>
      </c>
      <c r="BC194">
        <v>2.5</v>
      </c>
    </row>
    <row r="195" spans="1:55" ht="15" customHeight="1" x14ac:dyDescent="0.35">
      <c r="A195" t="s">
        <v>995</v>
      </c>
      <c r="B195" t="s">
        <v>1639</v>
      </c>
      <c r="C195" t="s">
        <v>1393</v>
      </c>
      <c r="D195" t="s">
        <v>20</v>
      </c>
      <c r="E195">
        <v>2022</v>
      </c>
      <c r="F195" t="s">
        <v>1394</v>
      </c>
      <c r="G195" t="s">
        <v>335</v>
      </c>
      <c r="H195" t="s">
        <v>352</v>
      </c>
      <c r="I195" t="s">
        <v>335</v>
      </c>
      <c r="J195" t="s">
        <v>339</v>
      </c>
      <c r="K195" t="s">
        <v>335</v>
      </c>
      <c r="L195" t="s">
        <v>352</v>
      </c>
      <c r="M195" t="s">
        <v>352</v>
      </c>
      <c r="N195" t="s">
        <v>352</v>
      </c>
      <c r="P195" t="s">
        <v>1481</v>
      </c>
      <c r="Q195" t="s">
        <v>1479</v>
      </c>
      <c r="R195" t="s">
        <v>1480</v>
      </c>
      <c r="S195" t="s">
        <v>1702</v>
      </c>
      <c r="T195" t="s">
        <v>1249</v>
      </c>
      <c r="U195" t="s">
        <v>422</v>
      </c>
      <c r="V195">
        <v>21.849722</v>
      </c>
      <c r="W195">
        <v>-105.88166699999999</v>
      </c>
      <c r="X195">
        <v>10</v>
      </c>
      <c r="Y195" t="s">
        <v>1478</v>
      </c>
      <c r="Z195" t="s">
        <v>1482</v>
      </c>
      <c r="AA195" t="s">
        <v>393</v>
      </c>
      <c r="AB195" t="s">
        <v>1476</v>
      </c>
      <c r="AC195" t="s">
        <v>366</v>
      </c>
      <c r="AD195" t="s">
        <v>1475</v>
      </c>
      <c r="AE195" t="s">
        <v>354</v>
      </c>
      <c r="AF195">
        <v>-9.6000000000000002E-2</v>
      </c>
      <c r="AG195">
        <v>0.1</v>
      </c>
      <c r="AH195" t="s">
        <v>346</v>
      </c>
      <c r="AI195" t="s">
        <v>346</v>
      </c>
      <c r="AJ195" t="s">
        <v>1477</v>
      </c>
      <c r="AK195">
        <v>26</v>
      </c>
      <c r="AL195" t="s">
        <v>807</v>
      </c>
      <c r="AM195" t="s">
        <v>347</v>
      </c>
      <c r="AN195" t="s">
        <v>348</v>
      </c>
      <c r="AO195" t="s">
        <v>349</v>
      </c>
      <c r="AP195" t="s">
        <v>355</v>
      </c>
      <c r="AQ195" t="s">
        <v>368</v>
      </c>
      <c r="AR195" t="s">
        <v>369</v>
      </c>
      <c r="AS195">
        <v>1500</v>
      </c>
      <c r="AT195" t="s">
        <v>367</v>
      </c>
      <c r="AU195" t="s">
        <v>367</v>
      </c>
      <c r="AV195" t="s">
        <v>367</v>
      </c>
      <c r="AW195" t="s">
        <v>367</v>
      </c>
      <c r="AX195" t="s">
        <v>349</v>
      </c>
      <c r="AY195" t="s">
        <v>367</v>
      </c>
      <c r="AZ195" t="s">
        <v>367</v>
      </c>
      <c r="BA195" t="s">
        <v>367</v>
      </c>
      <c r="BB195" t="s">
        <v>367</v>
      </c>
      <c r="BC195">
        <v>2</v>
      </c>
    </row>
    <row r="196" spans="1:55" ht="15" customHeight="1" x14ac:dyDescent="0.35">
      <c r="A196" t="s">
        <v>995</v>
      </c>
      <c r="B196" t="s">
        <v>1639</v>
      </c>
      <c r="C196" t="s">
        <v>1393</v>
      </c>
      <c r="D196" t="s">
        <v>20</v>
      </c>
      <c r="E196">
        <v>2022</v>
      </c>
      <c r="F196" t="s">
        <v>1394</v>
      </c>
      <c r="G196" t="s">
        <v>335</v>
      </c>
      <c r="H196" t="s">
        <v>352</v>
      </c>
      <c r="I196" t="s">
        <v>335</v>
      </c>
      <c r="J196" t="s">
        <v>339</v>
      </c>
      <c r="K196" t="s">
        <v>335</v>
      </c>
      <c r="L196" t="s">
        <v>352</v>
      </c>
      <c r="M196" t="s">
        <v>352</v>
      </c>
      <c r="N196" t="s">
        <v>352</v>
      </c>
      <c r="P196" t="s">
        <v>1481</v>
      </c>
      <c r="Q196" t="s">
        <v>1479</v>
      </c>
      <c r="R196" t="s">
        <v>1480</v>
      </c>
      <c r="S196" t="s">
        <v>1702</v>
      </c>
      <c r="T196" t="s">
        <v>1249</v>
      </c>
      <c r="U196" t="s">
        <v>422</v>
      </c>
      <c r="V196">
        <v>21.849722</v>
      </c>
      <c r="W196">
        <v>-105.88166699999999</v>
      </c>
      <c r="X196">
        <v>10</v>
      </c>
      <c r="Y196" t="s">
        <v>1478</v>
      </c>
      <c r="Z196" t="s">
        <v>1482</v>
      </c>
      <c r="AA196" t="s">
        <v>1236</v>
      </c>
      <c r="AB196" t="s">
        <v>514</v>
      </c>
      <c r="AC196" t="s">
        <v>366</v>
      </c>
      <c r="AD196" t="s">
        <v>1475</v>
      </c>
      <c r="AE196" t="s">
        <v>345</v>
      </c>
      <c r="AF196">
        <v>1.51</v>
      </c>
      <c r="AG196">
        <v>0.4</v>
      </c>
      <c r="AH196" t="s">
        <v>346</v>
      </c>
      <c r="AI196" t="s">
        <v>346</v>
      </c>
      <c r="AJ196" t="s">
        <v>1477</v>
      </c>
      <c r="AK196">
        <v>966</v>
      </c>
      <c r="AL196" t="s">
        <v>528</v>
      </c>
      <c r="AM196" t="s">
        <v>347</v>
      </c>
      <c r="AN196" t="s">
        <v>348</v>
      </c>
      <c r="AO196" t="s">
        <v>349</v>
      </c>
      <c r="AP196" t="s">
        <v>355</v>
      </c>
      <c r="AQ196" t="s">
        <v>368</v>
      </c>
      <c r="AR196" t="s">
        <v>369</v>
      </c>
      <c r="AS196">
        <v>1500</v>
      </c>
      <c r="AT196" t="s">
        <v>367</v>
      </c>
      <c r="AU196" t="s">
        <v>367</v>
      </c>
      <c r="AV196" t="s">
        <v>367</v>
      </c>
      <c r="AW196" t="s">
        <v>367</v>
      </c>
      <c r="AX196" t="s">
        <v>349</v>
      </c>
      <c r="AY196" t="s">
        <v>367</v>
      </c>
      <c r="AZ196" t="s">
        <v>367</v>
      </c>
      <c r="BA196" t="s">
        <v>367</v>
      </c>
      <c r="BB196" t="s">
        <v>367</v>
      </c>
      <c r="BC196">
        <v>2</v>
      </c>
    </row>
    <row r="197" spans="1:55" ht="15" customHeight="1" x14ac:dyDescent="0.35">
      <c r="A197" t="s">
        <v>995</v>
      </c>
      <c r="B197" t="s">
        <v>1640</v>
      </c>
      <c r="C197" t="s">
        <v>1395</v>
      </c>
      <c r="D197" t="s">
        <v>32</v>
      </c>
      <c r="E197">
        <v>2023</v>
      </c>
      <c r="F197" t="s">
        <v>1396</v>
      </c>
      <c r="G197" t="s">
        <v>335</v>
      </c>
      <c r="H197" t="s">
        <v>352</v>
      </c>
      <c r="I197" t="s">
        <v>335</v>
      </c>
      <c r="J197" t="s">
        <v>339</v>
      </c>
      <c r="K197" t="s">
        <v>335</v>
      </c>
      <c r="L197" t="s">
        <v>352</v>
      </c>
      <c r="M197" t="s">
        <v>352</v>
      </c>
      <c r="N197" t="s">
        <v>352</v>
      </c>
      <c r="O197" t="s">
        <v>1497</v>
      </c>
      <c r="P197" t="s">
        <v>353</v>
      </c>
      <c r="Q197" t="s">
        <v>425</v>
      </c>
      <c r="R197" t="s">
        <v>1489</v>
      </c>
      <c r="S197" t="s">
        <v>1495</v>
      </c>
      <c r="T197" t="s">
        <v>348</v>
      </c>
      <c r="U197" t="s">
        <v>361</v>
      </c>
      <c r="V197">
        <v>71.122461999999999</v>
      </c>
      <c r="W197">
        <v>-53.715564999999998</v>
      </c>
      <c r="X197">
        <v>600</v>
      </c>
      <c r="Y197" t="s">
        <v>1490</v>
      </c>
      <c r="Z197" t="s">
        <v>1494</v>
      </c>
      <c r="AA197" t="s">
        <v>1236</v>
      </c>
      <c r="AB197" t="s">
        <v>441</v>
      </c>
      <c r="AC197" t="s">
        <v>366</v>
      </c>
      <c r="AD197" t="s">
        <v>1491</v>
      </c>
      <c r="AE197" t="s">
        <v>364</v>
      </c>
      <c r="AF197">
        <v>0.84</v>
      </c>
      <c r="AG197" t="s">
        <v>346</v>
      </c>
      <c r="AH197">
        <v>0.14000000000000001</v>
      </c>
      <c r="AI197">
        <v>1.53</v>
      </c>
      <c r="AJ197" t="s">
        <v>592</v>
      </c>
      <c r="AK197">
        <v>26</v>
      </c>
      <c r="AL197" t="s">
        <v>1496</v>
      </c>
      <c r="AM197" t="s">
        <v>347</v>
      </c>
      <c r="AN197" t="s">
        <v>348</v>
      </c>
      <c r="AO197" t="s">
        <v>349</v>
      </c>
      <c r="AP197" t="s">
        <v>492</v>
      </c>
      <c r="AQ197" t="s">
        <v>351</v>
      </c>
      <c r="AR197" t="s">
        <v>369</v>
      </c>
      <c r="AS197">
        <v>2500</v>
      </c>
      <c r="AT197" t="s">
        <v>367</v>
      </c>
      <c r="AU197" t="s">
        <v>349</v>
      </c>
      <c r="AV197" t="s">
        <v>367</v>
      </c>
      <c r="AW197" t="s">
        <v>367</v>
      </c>
      <c r="AX197" t="s">
        <v>367</v>
      </c>
      <c r="AY197" t="s">
        <v>367</v>
      </c>
      <c r="AZ197" t="s">
        <v>367</v>
      </c>
      <c r="BA197" t="s">
        <v>367</v>
      </c>
      <c r="BB197" t="s">
        <v>367</v>
      </c>
      <c r="BC197">
        <v>4.5</v>
      </c>
    </row>
    <row r="198" spans="1:55" ht="15" customHeight="1" x14ac:dyDescent="0.35">
      <c r="A198" t="s">
        <v>995</v>
      </c>
      <c r="B198" t="s">
        <v>1640</v>
      </c>
      <c r="C198" t="s">
        <v>1395</v>
      </c>
      <c r="D198" t="s">
        <v>32</v>
      </c>
      <c r="E198">
        <v>2023</v>
      </c>
      <c r="F198" t="s">
        <v>1396</v>
      </c>
      <c r="G198" t="s">
        <v>335</v>
      </c>
      <c r="H198" t="s">
        <v>352</v>
      </c>
      <c r="I198" t="s">
        <v>335</v>
      </c>
      <c r="J198" t="s">
        <v>339</v>
      </c>
      <c r="K198" t="s">
        <v>335</v>
      </c>
      <c r="L198" t="s">
        <v>352</v>
      </c>
      <c r="M198" t="s">
        <v>352</v>
      </c>
      <c r="N198" t="s">
        <v>352</v>
      </c>
      <c r="O198" t="s">
        <v>1498</v>
      </c>
      <c r="P198" t="s">
        <v>353</v>
      </c>
      <c r="Q198" t="s">
        <v>425</v>
      </c>
      <c r="R198" t="s">
        <v>1489</v>
      </c>
      <c r="S198" t="s">
        <v>1495</v>
      </c>
      <c r="T198" t="s">
        <v>348</v>
      </c>
      <c r="U198" t="s">
        <v>361</v>
      </c>
      <c r="V198">
        <v>67.385958000000002</v>
      </c>
      <c r="W198">
        <v>-51.895232999999998</v>
      </c>
      <c r="X198">
        <v>300</v>
      </c>
      <c r="Y198" t="s">
        <v>1490</v>
      </c>
      <c r="Z198" t="s">
        <v>1494</v>
      </c>
      <c r="AA198" t="s">
        <v>1236</v>
      </c>
      <c r="AB198" t="s">
        <v>441</v>
      </c>
      <c r="AC198" t="s">
        <v>366</v>
      </c>
      <c r="AD198" t="s">
        <v>1491</v>
      </c>
      <c r="AE198" t="s">
        <v>354</v>
      </c>
      <c r="AF198" t="s">
        <v>346</v>
      </c>
      <c r="AG198" t="s">
        <v>346</v>
      </c>
      <c r="AH198" t="s">
        <v>346</v>
      </c>
      <c r="AI198" t="s">
        <v>346</v>
      </c>
      <c r="AJ198" t="s">
        <v>339</v>
      </c>
      <c r="AK198">
        <v>40</v>
      </c>
      <c r="AL198" t="s">
        <v>1496</v>
      </c>
      <c r="AM198" t="s">
        <v>347</v>
      </c>
      <c r="AN198" t="s">
        <v>348</v>
      </c>
      <c r="AO198" t="s">
        <v>349</v>
      </c>
      <c r="AP198" t="s">
        <v>492</v>
      </c>
      <c r="AQ198" t="s">
        <v>351</v>
      </c>
      <c r="AR198" t="s">
        <v>369</v>
      </c>
      <c r="AS198">
        <v>2500</v>
      </c>
      <c r="AT198" t="s">
        <v>367</v>
      </c>
      <c r="AU198" t="s">
        <v>349</v>
      </c>
      <c r="AV198" t="s">
        <v>367</v>
      </c>
      <c r="AW198" t="s">
        <v>367</v>
      </c>
      <c r="AX198" t="s">
        <v>367</v>
      </c>
      <c r="AY198" t="s">
        <v>367</v>
      </c>
      <c r="AZ198" t="s">
        <v>367</v>
      </c>
      <c r="BA198" t="s">
        <v>367</v>
      </c>
      <c r="BB198" t="s">
        <v>367</v>
      </c>
      <c r="BC198">
        <v>4.5</v>
      </c>
    </row>
    <row r="199" spans="1:55" ht="15" customHeight="1" x14ac:dyDescent="0.35">
      <c r="A199" t="s">
        <v>995</v>
      </c>
      <c r="B199" t="s">
        <v>1640</v>
      </c>
      <c r="C199" t="s">
        <v>1395</v>
      </c>
      <c r="D199" t="s">
        <v>32</v>
      </c>
      <c r="E199">
        <v>2023</v>
      </c>
      <c r="F199" t="s">
        <v>1396</v>
      </c>
      <c r="G199" t="s">
        <v>335</v>
      </c>
      <c r="H199" t="s">
        <v>352</v>
      </c>
      <c r="I199" t="s">
        <v>335</v>
      </c>
      <c r="J199" t="s">
        <v>339</v>
      </c>
      <c r="K199" t="s">
        <v>335</v>
      </c>
      <c r="L199" t="s">
        <v>352</v>
      </c>
      <c r="M199" t="s">
        <v>352</v>
      </c>
      <c r="N199" t="s">
        <v>352</v>
      </c>
      <c r="P199" t="s">
        <v>353</v>
      </c>
      <c r="Q199" t="s">
        <v>425</v>
      </c>
      <c r="R199" t="s">
        <v>1489</v>
      </c>
      <c r="S199" t="s">
        <v>1495</v>
      </c>
      <c r="T199" t="s">
        <v>348</v>
      </c>
      <c r="U199" t="s">
        <v>361</v>
      </c>
      <c r="V199">
        <v>69.007947000000001</v>
      </c>
      <c r="W199">
        <v>-50.729005000000001</v>
      </c>
      <c r="X199">
        <v>450</v>
      </c>
      <c r="Y199" t="s">
        <v>1490</v>
      </c>
      <c r="Z199" t="s">
        <v>1492</v>
      </c>
      <c r="AA199" t="s">
        <v>1236</v>
      </c>
      <c r="AB199" t="s">
        <v>1430</v>
      </c>
      <c r="AC199" t="s">
        <v>1237</v>
      </c>
      <c r="AD199" t="s">
        <v>1493</v>
      </c>
      <c r="AE199" t="s">
        <v>354</v>
      </c>
      <c r="AF199" t="s">
        <v>346</v>
      </c>
      <c r="AG199" t="s">
        <v>346</v>
      </c>
      <c r="AH199" t="s">
        <v>346</v>
      </c>
      <c r="AI199" t="s">
        <v>346</v>
      </c>
      <c r="AJ199" t="s">
        <v>339</v>
      </c>
      <c r="AK199">
        <v>85</v>
      </c>
      <c r="AL199" t="s">
        <v>1496</v>
      </c>
      <c r="AM199" t="s">
        <v>347</v>
      </c>
      <c r="AN199" t="s">
        <v>348</v>
      </c>
      <c r="AO199" t="s">
        <v>349</v>
      </c>
      <c r="AP199" t="s">
        <v>492</v>
      </c>
      <c r="AQ199" t="s">
        <v>351</v>
      </c>
      <c r="AR199" t="s">
        <v>369</v>
      </c>
      <c r="AS199">
        <v>2500</v>
      </c>
      <c r="AT199" t="s">
        <v>367</v>
      </c>
      <c r="AU199" t="s">
        <v>349</v>
      </c>
      <c r="AV199" t="s">
        <v>367</v>
      </c>
      <c r="AW199" t="s">
        <v>367</v>
      </c>
      <c r="AX199" t="s">
        <v>367</v>
      </c>
      <c r="AY199" t="s">
        <v>367</v>
      </c>
      <c r="AZ199" t="s">
        <v>367</v>
      </c>
      <c r="BA199" t="s">
        <v>367</v>
      </c>
      <c r="BB199" t="s">
        <v>367</v>
      </c>
      <c r="BC199">
        <v>4.5</v>
      </c>
    </row>
    <row r="200" spans="1:55" ht="15" customHeight="1" x14ac:dyDescent="0.35">
      <c r="A200" t="s">
        <v>995</v>
      </c>
      <c r="B200" t="s">
        <v>1641</v>
      </c>
      <c r="C200" t="s">
        <v>1397</v>
      </c>
      <c r="D200" t="s">
        <v>65</v>
      </c>
      <c r="E200">
        <v>2022</v>
      </c>
      <c r="F200" t="s">
        <v>1398</v>
      </c>
      <c r="G200" t="s">
        <v>335</v>
      </c>
      <c r="H200" t="s">
        <v>352</v>
      </c>
      <c r="I200" t="s">
        <v>335</v>
      </c>
      <c r="J200" t="s">
        <v>339</v>
      </c>
      <c r="K200" t="s">
        <v>335</v>
      </c>
      <c r="L200" t="s">
        <v>352</v>
      </c>
      <c r="M200" t="s">
        <v>352</v>
      </c>
      <c r="N200" t="s">
        <v>352</v>
      </c>
      <c r="P200" t="s">
        <v>395</v>
      </c>
      <c r="Q200" t="s">
        <v>1170</v>
      </c>
      <c r="R200" t="s">
        <v>1486</v>
      </c>
      <c r="S200" t="s">
        <v>1483</v>
      </c>
      <c r="T200" t="s">
        <v>348</v>
      </c>
      <c r="U200" t="s">
        <v>1487</v>
      </c>
      <c r="V200">
        <v>32.920943000000001</v>
      </c>
      <c r="W200">
        <v>-118.51745699999999</v>
      </c>
      <c r="X200">
        <v>300</v>
      </c>
      <c r="Y200" t="s">
        <v>1484</v>
      </c>
      <c r="Z200" t="s">
        <v>1488</v>
      </c>
      <c r="AA200" t="s">
        <v>1236</v>
      </c>
      <c r="AB200" t="s">
        <v>406</v>
      </c>
      <c r="AC200" t="s">
        <v>1241</v>
      </c>
      <c r="AD200" t="s">
        <v>1242</v>
      </c>
      <c r="AE200" t="s">
        <v>354</v>
      </c>
      <c r="AF200">
        <v>0.104</v>
      </c>
      <c r="AG200">
        <v>0.45800000000000002</v>
      </c>
      <c r="AH200" t="s">
        <v>346</v>
      </c>
      <c r="AI200" t="s">
        <v>346</v>
      </c>
      <c r="AJ200" t="s">
        <v>1485</v>
      </c>
      <c r="AK200">
        <v>110</v>
      </c>
      <c r="AL200" t="s">
        <v>377</v>
      </c>
      <c r="AM200" t="s">
        <v>347</v>
      </c>
      <c r="AN200" t="s">
        <v>348</v>
      </c>
      <c r="AO200" t="s">
        <v>367</v>
      </c>
      <c r="AP200" t="s">
        <v>386</v>
      </c>
      <c r="AQ200" t="s">
        <v>368</v>
      </c>
      <c r="AR200" t="s">
        <v>369</v>
      </c>
      <c r="AS200">
        <v>18.5</v>
      </c>
      <c r="AT200" t="s">
        <v>349</v>
      </c>
      <c r="AU200" t="s">
        <v>349</v>
      </c>
      <c r="AV200" t="s">
        <v>367</v>
      </c>
      <c r="AW200" t="s">
        <v>367</v>
      </c>
      <c r="AX200" t="s">
        <v>367</v>
      </c>
      <c r="AY200" t="s">
        <v>367</v>
      </c>
      <c r="AZ200" t="s">
        <v>367</v>
      </c>
      <c r="BA200" t="s">
        <v>367</v>
      </c>
      <c r="BB200" t="s">
        <v>367</v>
      </c>
      <c r="BC200">
        <v>3.5</v>
      </c>
    </row>
    <row r="201" spans="1:55" ht="15" customHeight="1" x14ac:dyDescent="0.35">
      <c r="A201" t="s">
        <v>995</v>
      </c>
      <c r="B201" t="s">
        <v>1642</v>
      </c>
      <c r="C201" t="s">
        <v>246</v>
      </c>
      <c r="D201" t="s">
        <v>52</v>
      </c>
      <c r="E201">
        <v>2001</v>
      </c>
      <c r="F201" t="s">
        <v>247</v>
      </c>
      <c r="G201" t="s">
        <v>335</v>
      </c>
      <c r="H201" t="s">
        <v>335</v>
      </c>
      <c r="I201" t="s">
        <v>335</v>
      </c>
      <c r="J201" t="s">
        <v>339</v>
      </c>
      <c r="K201" t="s">
        <v>335</v>
      </c>
      <c r="L201" t="s">
        <v>335</v>
      </c>
      <c r="M201" t="s">
        <v>352</v>
      </c>
      <c r="N201" t="s">
        <v>335</v>
      </c>
      <c r="P201" t="s">
        <v>549</v>
      </c>
      <c r="Q201" t="s">
        <v>703</v>
      </c>
      <c r="R201" t="s">
        <v>701</v>
      </c>
      <c r="S201" t="s">
        <v>699</v>
      </c>
      <c r="T201" t="s">
        <v>1235</v>
      </c>
      <c r="U201" t="s">
        <v>1239</v>
      </c>
      <c r="V201">
        <v>47.37</v>
      </c>
      <c r="W201">
        <v>8.3699999999999992</v>
      </c>
      <c r="X201">
        <v>380</v>
      </c>
      <c r="Y201" t="s">
        <v>844</v>
      </c>
      <c r="Z201" t="s">
        <v>1331</v>
      </c>
      <c r="AA201" t="s">
        <v>393</v>
      </c>
      <c r="AB201" t="s">
        <v>393</v>
      </c>
      <c r="AC201" t="s">
        <v>366</v>
      </c>
      <c r="AD201" t="s">
        <v>1332</v>
      </c>
      <c r="AE201" t="s">
        <v>364</v>
      </c>
      <c r="AF201">
        <v>6.36</v>
      </c>
      <c r="AG201" t="s">
        <v>346</v>
      </c>
      <c r="AH201" t="s">
        <v>346</v>
      </c>
      <c r="AI201" t="s">
        <v>346</v>
      </c>
      <c r="AJ201" t="s">
        <v>578</v>
      </c>
      <c r="AK201">
        <v>16</v>
      </c>
      <c r="AL201" t="s">
        <v>377</v>
      </c>
      <c r="AM201" t="s">
        <v>347</v>
      </c>
      <c r="AN201" t="s">
        <v>410</v>
      </c>
      <c r="AO201" t="s">
        <v>367</v>
      </c>
      <c r="AP201" t="s">
        <v>411</v>
      </c>
      <c r="AQ201" t="s">
        <v>368</v>
      </c>
      <c r="AR201" t="s">
        <v>369</v>
      </c>
      <c r="AS201">
        <v>68</v>
      </c>
      <c r="AT201" t="s">
        <v>349</v>
      </c>
      <c r="AU201" t="s">
        <v>367</v>
      </c>
      <c r="AV201" t="s">
        <v>367</v>
      </c>
      <c r="AW201" t="s">
        <v>367</v>
      </c>
      <c r="AX201" t="s">
        <v>367</v>
      </c>
      <c r="AY201" t="s">
        <v>367</v>
      </c>
      <c r="AZ201" t="s">
        <v>367</v>
      </c>
      <c r="BA201" t="s">
        <v>367</v>
      </c>
      <c r="BB201" t="s">
        <v>367</v>
      </c>
      <c r="BC201">
        <v>5.5</v>
      </c>
    </row>
    <row r="202" spans="1:55" ht="15" customHeight="1" x14ac:dyDescent="0.35">
      <c r="A202" t="s">
        <v>995</v>
      </c>
      <c r="B202" t="s">
        <v>1643</v>
      </c>
      <c r="C202" t="s">
        <v>248</v>
      </c>
      <c r="D202" t="s">
        <v>42</v>
      </c>
      <c r="E202">
        <v>2008</v>
      </c>
      <c r="F202" t="s">
        <v>249</v>
      </c>
      <c r="G202" t="s">
        <v>335</v>
      </c>
      <c r="H202" t="s">
        <v>335</v>
      </c>
      <c r="I202" t="s">
        <v>335</v>
      </c>
      <c r="J202" t="s">
        <v>339</v>
      </c>
      <c r="K202" t="s">
        <v>335</v>
      </c>
      <c r="L202" t="s">
        <v>335</v>
      </c>
      <c r="M202" t="s">
        <v>352</v>
      </c>
      <c r="N202" t="s">
        <v>335</v>
      </c>
      <c r="P202" t="s">
        <v>854</v>
      </c>
      <c r="Q202" t="s">
        <v>850</v>
      </c>
      <c r="R202" t="s">
        <v>851</v>
      </c>
      <c r="S202" t="s">
        <v>848</v>
      </c>
      <c r="T202" t="s">
        <v>1235</v>
      </c>
      <c r="U202" t="s">
        <v>639</v>
      </c>
      <c r="V202">
        <v>50.743561999999997</v>
      </c>
      <c r="W202">
        <v>15.654134000000001</v>
      </c>
      <c r="X202">
        <v>1400</v>
      </c>
      <c r="Y202" t="s">
        <v>845</v>
      </c>
      <c r="Z202" t="s">
        <v>846</v>
      </c>
      <c r="AA202" t="s">
        <v>1236</v>
      </c>
      <c r="AB202" t="s">
        <v>363</v>
      </c>
      <c r="AC202" t="s">
        <v>366</v>
      </c>
      <c r="AD202" t="s">
        <v>847</v>
      </c>
      <c r="AE202" t="s">
        <v>364</v>
      </c>
      <c r="AF202">
        <v>0.08</v>
      </c>
      <c r="AG202" t="s">
        <v>346</v>
      </c>
      <c r="AH202" t="s">
        <v>346</v>
      </c>
      <c r="AI202" t="s">
        <v>346</v>
      </c>
      <c r="AJ202" t="s">
        <v>578</v>
      </c>
      <c r="AK202">
        <v>234</v>
      </c>
      <c r="AL202" t="s">
        <v>377</v>
      </c>
      <c r="AM202" t="s">
        <v>347</v>
      </c>
      <c r="AN202" t="s">
        <v>348</v>
      </c>
      <c r="AO202" t="s">
        <v>349</v>
      </c>
      <c r="AP202" t="s">
        <v>386</v>
      </c>
      <c r="AQ202" t="s">
        <v>368</v>
      </c>
      <c r="AR202" t="s">
        <v>369</v>
      </c>
      <c r="AS202">
        <v>19</v>
      </c>
      <c r="AT202" t="s">
        <v>349</v>
      </c>
      <c r="AU202" t="s">
        <v>349</v>
      </c>
      <c r="AV202" t="s">
        <v>367</v>
      </c>
      <c r="AW202" t="s">
        <v>367</v>
      </c>
      <c r="AX202" t="s">
        <v>367</v>
      </c>
      <c r="AY202" t="s">
        <v>367</v>
      </c>
      <c r="AZ202" t="s">
        <v>367</v>
      </c>
      <c r="BA202" t="s">
        <v>367</v>
      </c>
      <c r="BB202" t="s">
        <v>367</v>
      </c>
      <c r="BC202">
        <v>4.5</v>
      </c>
    </row>
    <row r="203" spans="1:55" ht="15" customHeight="1" x14ac:dyDescent="0.35">
      <c r="A203" t="s">
        <v>995</v>
      </c>
      <c r="B203" t="s">
        <v>1643</v>
      </c>
      <c r="C203" t="s">
        <v>248</v>
      </c>
      <c r="D203" t="s">
        <v>42</v>
      </c>
      <c r="E203">
        <v>2008</v>
      </c>
      <c r="F203" t="s">
        <v>249</v>
      </c>
      <c r="G203" t="s">
        <v>335</v>
      </c>
      <c r="H203" t="s">
        <v>335</v>
      </c>
      <c r="I203" t="s">
        <v>335</v>
      </c>
      <c r="J203" t="s">
        <v>339</v>
      </c>
      <c r="K203" t="s">
        <v>335</v>
      </c>
      <c r="L203" t="s">
        <v>335</v>
      </c>
      <c r="M203" t="s">
        <v>352</v>
      </c>
      <c r="N203" t="s">
        <v>335</v>
      </c>
      <c r="P203" t="s">
        <v>836</v>
      </c>
      <c r="Q203" t="s">
        <v>852</v>
      </c>
      <c r="R203" t="s">
        <v>853</v>
      </c>
      <c r="S203" t="s">
        <v>849</v>
      </c>
      <c r="T203" t="s">
        <v>1235</v>
      </c>
      <c r="U203" t="s">
        <v>639</v>
      </c>
      <c r="V203">
        <v>50.743561999999997</v>
      </c>
      <c r="W203">
        <v>15.654134000000001</v>
      </c>
      <c r="X203">
        <v>1400</v>
      </c>
      <c r="Y203" t="s">
        <v>845</v>
      </c>
      <c r="Z203" t="s">
        <v>846</v>
      </c>
      <c r="AA203" t="s">
        <v>1236</v>
      </c>
      <c r="AB203" t="s">
        <v>363</v>
      </c>
      <c r="AC203" t="s">
        <v>366</v>
      </c>
      <c r="AD203" t="s">
        <v>847</v>
      </c>
      <c r="AE203" t="s">
        <v>354</v>
      </c>
      <c r="AF203" t="s">
        <v>346</v>
      </c>
      <c r="AG203" t="s">
        <v>346</v>
      </c>
      <c r="AH203" t="s">
        <v>346</v>
      </c>
      <c r="AI203" t="s">
        <v>346</v>
      </c>
      <c r="AJ203" t="s">
        <v>339</v>
      </c>
      <c r="AK203">
        <v>71</v>
      </c>
      <c r="AL203" t="s">
        <v>377</v>
      </c>
      <c r="AM203" t="s">
        <v>339</v>
      </c>
      <c r="AN203" t="s">
        <v>348</v>
      </c>
      <c r="AO203" t="s">
        <v>349</v>
      </c>
      <c r="AP203" t="s">
        <v>386</v>
      </c>
      <c r="AQ203" t="s">
        <v>368</v>
      </c>
      <c r="AR203" t="s">
        <v>369</v>
      </c>
      <c r="AS203">
        <v>19</v>
      </c>
      <c r="AT203" t="s">
        <v>349</v>
      </c>
      <c r="AU203" t="s">
        <v>349</v>
      </c>
      <c r="AV203" t="s">
        <v>349</v>
      </c>
      <c r="AW203" t="s">
        <v>367</v>
      </c>
      <c r="AX203" t="s">
        <v>367</v>
      </c>
      <c r="AY203" t="s">
        <v>367</v>
      </c>
      <c r="AZ203" t="s">
        <v>367</v>
      </c>
      <c r="BA203" t="s">
        <v>367</v>
      </c>
      <c r="BB203" t="s">
        <v>367</v>
      </c>
      <c r="BC203">
        <v>5</v>
      </c>
    </row>
    <row r="204" spans="1:55" ht="15" customHeight="1" x14ac:dyDescent="0.35">
      <c r="A204" t="s">
        <v>995</v>
      </c>
      <c r="B204" t="s">
        <v>1644</v>
      </c>
      <c r="C204" t="s">
        <v>250</v>
      </c>
      <c r="D204" t="s">
        <v>251</v>
      </c>
      <c r="E204">
        <v>2008</v>
      </c>
      <c r="F204" t="s">
        <v>252</v>
      </c>
      <c r="G204" t="s">
        <v>335</v>
      </c>
      <c r="H204" t="s">
        <v>335</v>
      </c>
      <c r="I204" t="s">
        <v>335</v>
      </c>
      <c r="J204" t="s">
        <v>339</v>
      </c>
      <c r="K204" t="s">
        <v>335</v>
      </c>
      <c r="L204" t="s">
        <v>335</v>
      </c>
      <c r="M204" t="s">
        <v>352</v>
      </c>
      <c r="N204" t="s">
        <v>335</v>
      </c>
      <c r="P204" t="s">
        <v>526</v>
      </c>
      <c r="Q204" t="s">
        <v>523</v>
      </c>
      <c r="R204" t="s">
        <v>856</v>
      </c>
      <c r="S204" t="s">
        <v>855</v>
      </c>
      <c r="T204" t="s">
        <v>1266</v>
      </c>
      <c r="U204" t="s">
        <v>524</v>
      </c>
      <c r="V204">
        <v>52.633077</v>
      </c>
      <c r="W204">
        <v>-1.1393500000000001</v>
      </c>
      <c r="X204">
        <v>105</v>
      </c>
      <c r="Y204" t="s">
        <v>796</v>
      </c>
      <c r="AA204" t="s">
        <v>393</v>
      </c>
      <c r="AB204" t="s">
        <v>393</v>
      </c>
      <c r="AC204" t="s">
        <v>366</v>
      </c>
      <c r="AD204" t="s">
        <v>1041</v>
      </c>
      <c r="AE204" t="s">
        <v>791</v>
      </c>
      <c r="AF204" t="s">
        <v>346</v>
      </c>
      <c r="AG204" t="s">
        <v>346</v>
      </c>
      <c r="AH204" t="s">
        <v>346</v>
      </c>
      <c r="AI204" t="s">
        <v>346</v>
      </c>
      <c r="AJ204" t="s">
        <v>339</v>
      </c>
      <c r="AK204">
        <v>735</v>
      </c>
      <c r="AL204" t="s">
        <v>377</v>
      </c>
      <c r="AM204" t="s">
        <v>347</v>
      </c>
      <c r="AN204" t="s">
        <v>410</v>
      </c>
      <c r="AO204" t="s">
        <v>367</v>
      </c>
      <c r="AP204" t="s">
        <v>411</v>
      </c>
      <c r="AQ204" t="s">
        <v>368</v>
      </c>
      <c r="AR204" t="s">
        <v>369</v>
      </c>
      <c r="AS204">
        <v>28</v>
      </c>
      <c r="AT204" t="s">
        <v>349</v>
      </c>
      <c r="AU204" t="s">
        <v>349</v>
      </c>
      <c r="AV204" t="s">
        <v>349</v>
      </c>
      <c r="AW204" t="s">
        <v>367</v>
      </c>
      <c r="AX204" t="s">
        <v>367</v>
      </c>
      <c r="AY204" t="s">
        <v>367</v>
      </c>
      <c r="AZ204" t="s">
        <v>367</v>
      </c>
      <c r="BA204" t="s">
        <v>367</v>
      </c>
      <c r="BB204" t="s">
        <v>367</v>
      </c>
      <c r="BC204">
        <v>5</v>
      </c>
    </row>
    <row r="205" spans="1:55" ht="15" customHeight="1" x14ac:dyDescent="0.35">
      <c r="A205" t="s">
        <v>995</v>
      </c>
      <c r="B205" t="s">
        <v>1645</v>
      </c>
      <c r="C205" t="s">
        <v>253</v>
      </c>
      <c r="D205" t="s">
        <v>254</v>
      </c>
      <c r="E205">
        <v>1997</v>
      </c>
      <c r="F205" t="s">
        <v>255</v>
      </c>
      <c r="G205" t="s">
        <v>335</v>
      </c>
      <c r="H205" t="s">
        <v>335</v>
      </c>
      <c r="I205" t="s">
        <v>335</v>
      </c>
      <c r="J205" t="s">
        <v>339</v>
      </c>
      <c r="K205" t="s">
        <v>335</v>
      </c>
      <c r="L205" t="s">
        <v>335</v>
      </c>
      <c r="M205" t="s">
        <v>352</v>
      </c>
      <c r="N205" t="s">
        <v>335</v>
      </c>
      <c r="P205" t="s">
        <v>654</v>
      </c>
      <c r="Q205" t="s">
        <v>860</v>
      </c>
      <c r="R205" t="s">
        <v>821</v>
      </c>
      <c r="S205" t="s">
        <v>858</v>
      </c>
      <c r="T205" t="s">
        <v>1249</v>
      </c>
      <c r="U205" t="s">
        <v>422</v>
      </c>
      <c r="V205">
        <v>42.162056</v>
      </c>
      <c r="W205">
        <v>9.1333179999999992</v>
      </c>
      <c r="X205">
        <v>86</v>
      </c>
      <c r="Y205" t="s">
        <v>859</v>
      </c>
      <c r="AA205" t="s">
        <v>1236</v>
      </c>
      <c r="AB205" t="s">
        <v>915</v>
      </c>
      <c r="AC205" t="s">
        <v>1237</v>
      </c>
      <c r="AD205" t="s">
        <v>857</v>
      </c>
      <c r="AE205" t="s">
        <v>364</v>
      </c>
      <c r="AF205" t="s">
        <v>346</v>
      </c>
      <c r="AG205" t="s">
        <v>346</v>
      </c>
      <c r="AH205" t="s">
        <v>346</v>
      </c>
      <c r="AI205" t="s">
        <v>346</v>
      </c>
      <c r="AJ205" t="s">
        <v>339</v>
      </c>
      <c r="AK205">
        <v>9</v>
      </c>
      <c r="AL205" t="s">
        <v>807</v>
      </c>
      <c r="AM205" t="s">
        <v>347</v>
      </c>
      <c r="AN205" t="s">
        <v>410</v>
      </c>
      <c r="AO205" t="s">
        <v>367</v>
      </c>
      <c r="AP205" t="s">
        <v>411</v>
      </c>
      <c r="AQ205" t="s">
        <v>368</v>
      </c>
      <c r="AR205" t="s">
        <v>369</v>
      </c>
      <c r="AS205">
        <v>42</v>
      </c>
      <c r="AT205" t="s">
        <v>349</v>
      </c>
      <c r="AU205" t="s">
        <v>367</v>
      </c>
      <c r="AV205" t="s">
        <v>367</v>
      </c>
      <c r="AW205" t="s">
        <v>367</v>
      </c>
      <c r="AX205" t="s">
        <v>367</v>
      </c>
      <c r="AY205" t="s">
        <v>367</v>
      </c>
      <c r="AZ205" t="s">
        <v>367</v>
      </c>
      <c r="BA205" t="s">
        <v>367</v>
      </c>
      <c r="BB205" t="s">
        <v>367</v>
      </c>
      <c r="BC205">
        <v>2.5</v>
      </c>
    </row>
    <row r="206" spans="1:55" ht="15" customHeight="1" x14ac:dyDescent="0.35">
      <c r="A206" t="s">
        <v>995</v>
      </c>
      <c r="B206" t="s">
        <v>1646</v>
      </c>
      <c r="C206" t="s">
        <v>256</v>
      </c>
      <c r="D206" t="s">
        <v>81</v>
      </c>
      <c r="E206">
        <v>1997</v>
      </c>
      <c r="F206" t="s">
        <v>257</v>
      </c>
      <c r="G206" t="s">
        <v>335</v>
      </c>
      <c r="H206" t="s">
        <v>335</v>
      </c>
      <c r="I206" t="s">
        <v>335</v>
      </c>
      <c r="J206" t="s">
        <v>339</v>
      </c>
      <c r="K206" t="s">
        <v>335</v>
      </c>
      <c r="L206" t="s">
        <v>335</v>
      </c>
      <c r="M206" t="s">
        <v>352</v>
      </c>
      <c r="N206" t="s">
        <v>335</v>
      </c>
      <c r="P206" t="s">
        <v>387</v>
      </c>
      <c r="Q206" t="s">
        <v>861</v>
      </c>
      <c r="R206" t="s">
        <v>862</v>
      </c>
      <c r="S206" t="s">
        <v>603</v>
      </c>
      <c r="T206" t="s">
        <v>1235</v>
      </c>
      <c r="U206" t="s">
        <v>1239</v>
      </c>
      <c r="V206">
        <v>41.49</v>
      </c>
      <c r="W206">
        <v>13.47</v>
      </c>
      <c r="X206">
        <v>1550</v>
      </c>
      <c r="Y206" t="s">
        <v>865</v>
      </c>
      <c r="Z206" t="s">
        <v>1333</v>
      </c>
      <c r="AA206" t="s">
        <v>1236</v>
      </c>
      <c r="AB206" t="s">
        <v>441</v>
      </c>
      <c r="AC206" t="s">
        <v>1241</v>
      </c>
      <c r="AD206" t="s">
        <v>1258</v>
      </c>
      <c r="AE206" t="s">
        <v>364</v>
      </c>
      <c r="AF206">
        <v>0.77</v>
      </c>
      <c r="AG206" t="s">
        <v>346</v>
      </c>
      <c r="AH206" t="s">
        <v>346</v>
      </c>
      <c r="AI206" t="s">
        <v>346</v>
      </c>
      <c r="AJ206" t="s">
        <v>838</v>
      </c>
      <c r="AK206">
        <v>51</v>
      </c>
      <c r="AL206" t="s">
        <v>417</v>
      </c>
      <c r="AM206" t="s">
        <v>347</v>
      </c>
      <c r="AN206" t="s">
        <v>348</v>
      </c>
      <c r="AO206" t="s">
        <v>367</v>
      </c>
      <c r="AP206" t="s">
        <v>350</v>
      </c>
      <c r="AQ206" t="s">
        <v>368</v>
      </c>
      <c r="AR206" t="s">
        <v>369</v>
      </c>
      <c r="AS206">
        <v>998</v>
      </c>
      <c r="AT206" t="s">
        <v>367</v>
      </c>
      <c r="AU206" t="s">
        <v>367</v>
      </c>
      <c r="AV206" t="s">
        <v>367</v>
      </c>
      <c r="AW206" t="s">
        <v>349</v>
      </c>
      <c r="AX206" t="s">
        <v>367</v>
      </c>
      <c r="AY206" t="s">
        <v>349</v>
      </c>
      <c r="AZ206" t="s">
        <v>349</v>
      </c>
      <c r="BA206" t="s">
        <v>367</v>
      </c>
      <c r="BB206" t="s">
        <v>367</v>
      </c>
      <c r="BC206">
        <v>3</v>
      </c>
    </row>
    <row r="207" spans="1:55" ht="15" customHeight="1" x14ac:dyDescent="0.35">
      <c r="A207" t="s">
        <v>1065</v>
      </c>
      <c r="B207" t="s">
        <v>1647</v>
      </c>
      <c r="C207" t="s">
        <v>1112</v>
      </c>
      <c r="D207" t="s">
        <v>1092</v>
      </c>
      <c r="E207">
        <v>2013</v>
      </c>
      <c r="G207" t="s">
        <v>335</v>
      </c>
      <c r="H207" t="s">
        <v>335</v>
      </c>
      <c r="I207" t="s">
        <v>335</v>
      </c>
      <c r="J207" t="s">
        <v>339</v>
      </c>
      <c r="K207" t="s">
        <v>335</v>
      </c>
      <c r="L207" t="s">
        <v>335</v>
      </c>
      <c r="M207" t="s">
        <v>352</v>
      </c>
      <c r="N207" t="s">
        <v>352</v>
      </c>
      <c r="P207" t="s">
        <v>526</v>
      </c>
      <c r="Q207" t="s">
        <v>523</v>
      </c>
      <c r="R207" t="s">
        <v>856</v>
      </c>
      <c r="S207" t="s">
        <v>855</v>
      </c>
      <c r="T207" t="s">
        <v>1266</v>
      </c>
      <c r="U207" t="s">
        <v>579</v>
      </c>
      <c r="V207">
        <v>47.053199999999997</v>
      </c>
      <c r="W207">
        <v>17.534400000000002</v>
      </c>
      <c r="X207">
        <v>240</v>
      </c>
      <c r="Y207" t="s">
        <v>1047</v>
      </c>
      <c r="Z207" t="s">
        <v>1186</v>
      </c>
      <c r="AA207" t="s">
        <v>1236</v>
      </c>
      <c r="AB207" t="s">
        <v>514</v>
      </c>
      <c r="AC207" t="s">
        <v>366</v>
      </c>
      <c r="AD207" t="s">
        <v>1301</v>
      </c>
      <c r="AE207" t="s">
        <v>354</v>
      </c>
      <c r="AF207">
        <v>-0.04</v>
      </c>
      <c r="AG207" t="s">
        <v>346</v>
      </c>
      <c r="AH207">
        <v>-0.15</v>
      </c>
      <c r="AI207">
        <v>7.0000000000000007E-2</v>
      </c>
      <c r="AJ207" t="s">
        <v>592</v>
      </c>
      <c r="AK207">
        <v>317</v>
      </c>
      <c r="AL207" t="s">
        <v>529</v>
      </c>
      <c r="AM207" t="s">
        <v>347</v>
      </c>
      <c r="AN207" t="s">
        <v>410</v>
      </c>
      <c r="AO207" t="s">
        <v>367</v>
      </c>
      <c r="AP207" t="s">
        <v>411</v>
      </c>
      <c r="AQ207" t="s">
        <v>368</v>
      </c>
      <c r="AR207" t="s">
        <v>369</v>
      </c>
      <c r="AS207">
        <v>28</v>
      </c>
      <c r="AT207" t="s">
        <v>349</v>
      </c>
      <c r="AU207" t="s">
        <v>349</v>
      </c>
      <c r="AV207" t="s">
        <v>349</v>
      </c>
      <c r="AW207" t="s">
        <v>367</v>
      </c>
      <c r="AX207" t="s">
        <v>367</v>
      </c>
      <c r="AY207" t="s">
        <v>367</v>
      </c>
      <c r="AZ207" t="s">
        <v>367</v>
      </c>
      <c r="BA207" t="s">
        <v>367</v>
      </c>
      <c r="BB207" t="s">
        <v>367</v>
      </c>
      <c r="BC207">
        <v>5</v>
      </c>
    </row>
    <row r="208" spans="1:55" ht="15" customHeight="1" x14ac:dyDescent="0.35">
      <c r="A208" t="s">
        <v>1065</v>
      </c>
      <c r="B208" t="s">
        <v>1647</v>
      </c>
      <c r="C208" t="s">
        <v>1112</v>
      </c>
      <c r="D208" t="s">
        <v>1092</v>
      </c>
      <c r="E208">
        <v>2013</v>
      </c>
      <c r="G208" t="s">
        <v>335</v>
      </c>
      <c r="H208" t="s">
        <v>335</v>
      </c>
      <c r="I208" t="s">
        <v>335</v>
      </c>
      <c r="J208" t="s">
        <v>339</v>
      </c>
      <c r="K208" t="s">
        <v>335</v>
      </c>
      <c r="L208" t="s">
        <v>335</v>
      </c>
      <c r="M208" t="s">
        <v>352</v>
      </c>
      <c r="N208" t="s">
        <v>352</v>
      </c>
      <c r="P208" t="s">
        <v>526</v>
      </c>
      <c r="Q208" t="s">
        <v>523</v>
      </c>
      <c r="R208" t="s">
        <v>856</v>
      </c>
      <c r="S208" t="s">
        <v>855</v>
      </c>
      <c r="T208" t="s">
        <v>1266</v>
      </c>
      <c r="U208" t="s">
        <v>579</v>
      </c>
      <c r="V208">
        <v>47.053199999999997</v>
      </c>
      <c r="W208">
        <v>17.534400000000002</v>
      </c>
      <c r="X208">
        <v>240</v>
      </c>
      <c r="Y208" t="s">
        <v>1047</v>
      </c>
      <c r="AA208" t="s">
        <v>1236</v>
      </c>
      <c r="AB208" t="s">
        <v>514</v>
      </c>
      <c r="AC208" t="s">
        <v>366</v>
      </c>
      <c r="AD208" t="s">
        <v>1173</v>
      </c>
      <c r="AE208" t="s">
        <v>354</v>
      </c>
      <c r="AF208">
        <v>0.04</v>
      </c>
      <c r="AG208" t="s">
        <v>346</v>
      </c>
      <c r="AH208">
        <v>-0.13</v>
      </c>
      <c r="AI208">
        <v>0.21</v>
      </c>
      <c r="AJ208" t="s">
        <v>592</v>
      </c>
      <c r="AK208">
        <v>317</v>
      </c>
      <c r="AL208" t="s">
        <v>529</v>
      </c>
      <c r="AM208" t="s">
        <v>347</v>
      </c>
      <c r="AN208" t="s">
        <v>410</v>
      </c>
      <c r="AO208" t="s">
        <v>367</v>
      </c>
      <c r="AP208" t="s">
        <v>411</v>
      </c>
      <c r="AQ208" t="s">
        <v>368</v>
      </c>
      <c r="AR208" t="s">
        <v>369</v>
      </c>
      <c r="AS208">
        <v>28</v>
      </c>
      <c r="AT208" t="s">
        <v>349</v>
      </c>
      <c r="AU208" t="s">
        <v>349</v>
      </c>
      <c r="AV208" t="s">
        <v>349</v>
      </c>
      <c r="AW208" t="s">
        <v>367</v>
      </c>
      <c r="AX208" t="s">
        <v>367</v>
      </c>
      <c r="AY208" t="s">
        <v>367</v>
      </c>
      <c r="AZ208" t="s">
        <v>367</v>
      </c>
      <c r="BA208" t="s">
        <v>367</v>
      </c>
      <c r="BB208" t="s">
        <v>367</v>
      </c>
      <c r="BC208">
        <v>5</v>
      </c>
    </row>
    <row r="209" spans="1:55" ht="15" customHeight="1" x14ac:dyDescent="0.35">
      <c r="A209" t="s">
        <v>1065</v>
      </c>
      <c r="B209" t="s">
        <v>1647</v>
      </c>
      <c r="C209" t="s">
        <v>1112</v>
      </c>
      <c r="D209" t="s">
        <v>1092</v>
      </c>
      <c r="E209">
        <v>2013</v>
      </c>
      <c r="G209" t="s">
        <v>335</v>
      </c>
      <c r="H209" t="s">
        <v>335</v>
      </c>
      <c r="I209" t="s">
        <v>335</v>
      </c>
      <c r="J209" t="s">
        <v>339</v>
      </c>
      <c r="K209" t="s">
        <v>335</v>
      </c>
      <c r="L209" t="s">
        <v>335</v>
      </c>
      <c r="M209" t="s">
        <v>352</v>
      </c>
      <c r="N209" t="s">
        <v>352</v>
      </c>
      <c r="P209" t="s">
        <v>526</v>
      </c>
      <c r="Q209" t="s">
        <v>523</v>
      </c>
      <c r="R209" t="s">
        <v>856</v>
      </c>
      <c r="S209" t="s">
        <v>855</v>
      </c>
      <c r="T209" t="s">
        <v>1266</v>
      </c>
      <c r="U209" t="s">
        <v>579</v>
      </c>
      <c r="V209">
        <v>47.053199999999997</v>
      </c>
      <c r="W209">
        <v>17.534400000000002</v>
      </c>
      <c r="X209">
        <v>240</v>
      </c>
      <c r="Y209" t="s">
        <v>1047</v>
      </c>
      <c r="AA209" t="s">
        <v>1236</v>
      </c>
      <c r="AB209" t="s">
        <v>512</v>
      </c>
      <c r="AC209" t="s">
        <v>366</v>
      </c>
      <c r="AD209" t="s">
        <v>1173</v>
      </c>
      <c r="AE209" t="s">
        <v>354</v>
      </c>
      <c r="AF209">
        <v>-0.05</v>
      </c>
      <c r="AG209" t="s">
        <v>346</v>
      </c>
      <c r="AH209">
        <v>-0.25</v>
      </c>
      <c r="AI209">
        <v>0.14000000000000001</v>
      </c>
      <c r="AJ209" t="s">
        <v>592</v>
      </c>
      <c r="AK209" t="s">
        <v>346</v>
      </c>
      <c r="AL209" t="s">
        <v>339</v>
      </c>
      <c r="AM209" t="s">
        <v>347</v>
      </c>
      <c r="AN209" t="s">
        <v>410</v>
      </c>
      <c r="AO209" t="s">
        <v>367</v>
      </c>
      <c r="AP209" t="s">
        <v>411</v>
      </c>
      <c r="AQ209" t="s">
        <v>368</v>
      </c>
      <c r="AR209" t="s">
        <v>369</v>
      </c>
      <c r="AS209">
        <v>28</v>
      </c>
      <c r="AT209" t="s">
        <v>349</v>
      </c>
      <c r="AU209" t="s">
        <v>349</v>
      </c>
      <c r="AV209" t="s">
        <v>349</v>
      </c>
      <c r="AW209" t="s">
        <v>367</v>
      </c>
      <c r="AX209" t="s">
        <v>367</v>
      </c>
      <c r="AY209" t="s">
        <v>367</v>
      </c>
      <c r="AZ209" t="s">
        <v>367</v>
      </c>
      <c r="BA209" t="s">
        <v>367</v>
      </c>
      <c r="BB209" t="s">
        <v>367</v>
      </c>
      <c r="BC209">
        <v>5</v>
      </c>
    </row>
    <row r="210" spans="1:55" ht="15" customHeight="1" x14ac:dyDescent="0.35">
      <c r="A210" t="s">
        <v>1065</v>
      </c>
      <c r="B210" t="s">
        <v>1647</v>
      </c>
      <c r="C210" t="s">
        <v>1112</v>
      </c>
      <c r="D210" t="s">
        <v>1092</v>
      </c>
      <c r="E210">
        <v>2013</v>
      </c>
      <c r="G210" t="s">
        <v>335</v>
      </c>
      <c r="H210" t="s">
        <v>335</v>
      </c>
      <c r="I210" t="s">
        <v>335</v>
      </c>
      <c r="J210" t="s">
        <v>339</v>
      </c>
      <c r="K210" t="s">
        <v>335</v>
      </c>
      <c r="L210" t="s">
        <v>335</v>
      </c>
      <c r="M210" t="s">
        <v>352</v>
      </c>
      <c r="N210" t="s">
        <v>352</v>
      </c>
      <c r="P210" t="s">
        <v>526</v>
      </c>
      <c r="Q210" t="s">
        <v>523</v>
      </c>
      <c r="R210" t="s">
        <v>856</v>
      </c>
      <c r="S210" t="s">
        <v>855</v>
      </c>
      <c r="T210" t="s">
        <v>1266</v>
      </c>
      <c r="U210" t="s">
        <v>579</v>
      </c>
      <c r="V210">
        <v>47.053199999999997</v>
      </c>
      <c r="W210">
        <v>17.534400000000002</v>
      </c>
      <c r="X210">
        <v>240</v>
      </c>
      <c r="Y210" t="s">
        <v>1047</v>
      </c>
      <c r="Z210" t="s">
        <v>1186</v>
      </c>
      <c r="AA210" t="s">
        <v>1236</v>
      </c>
      <c r="AB210" t="s">
        <v>512</v>
      </c>
      <c r="AC210" t="s">
        <v>366</v>
      </c>
      <c r="AD210" t="s">
        <v>1301</v>
      </c>
      <c r="AE210" t="s">
        <v>354</v>
      </c>
      <c r="AF210">
        <v>0</v>
      </c>
      <c r="AG210" t="s">
        <v>346</v>
      </c>
      <c r="AH210">
        <v>-0.12</v>
      </c>
      <c r="AI210">
        <v>0.13</v>
      </c>
      <c r="AJ210" t="s">
        <v>592</v>
      </c>
      <c r="AK210" t="s">
        <v>346</v>
      </c>
      <c r="AL210" t="s">
        <v>339</v>
      </c>
      <c r="AM210" t="s">
        <v>347</v>
      </c>
      <c r="AN210" t="s">
        <v>410</v>
      </c>
      <c r="AO210" t="s">
        <v>367</v>
      </c>
      <c r="AP210" t="s">
        <v>411</v>
      </c>
      <c r="AQ210" t="s">
        <v>368</v>
      </c>
      <c r="AR210" t="s">
        <v>369</v>
      </c>
      <c r="AS210">
        <v>28</v>
      </c>
      <c r="AT210" t="s">
        <v>349</v>
      </c>
      <c r="AU210" t="s">
        <v>349</v>
      </c>
      <c r="AV210" t="s">
        <v>349</v>
      </c>
      <c r="AW210" t="s">
        <v>367</v>
      </c>
      <c r="AX210" t="s">
        <v>367</v>
      </c>
      <c r="AY210" t="s">
        <v>367</v>
      </c>
      <c r="AZ210" t="s">
        <v>367</v>
      </c>
      <c r="BA210" t="s">
        <v>367</v>
      </c>
      <c r="BB210" t="s">
        <v>367</v>
      </c>
      <c r="BC210">
        <v>5</v>
      </c>
    </row>
    <row r="211" spans="1:55" ht="15" customHeight="1" x14ac:dyDescent="0.35">
      <c r="A211" t="s">
        <v>995</v>
      </c>
      <c r="B211" t="s">
        <v>1648</v>
      </c>
      <c r="C211" t="s">
        <v>258</v>
      </c>
      <c r="D211" t="s">
        <v>128</v>
      </c>
      <c r="E211">
        <v>2003</v>
      </c>
      <c r="F211" t="s">
        <v>259</v>
      </c>
      <c r="G211" t="s">
        <v>335</v>
      </c>
      <c r="H211" t="s">
        <v>335</v>
      </c>
      <c r="I211" t="s">
        <v>335</v>
      </c>
      <c r="J211" t="s">
        <v>339</v>
      </c>
      <c r="K211" t="s">
        <v>335</v>
      </c>
      <c r="L211" t="s">
        <v>335</v>
      </c>
      <c r="M211" t="s">
        <v>352</v>
      </c>
      <c r="N211" t="s">
        <v>352</v>
      </c>
      <c r="P211" t="s">
        <v>401</v>
      </c>
      <c r="Q211" t="s">
        <v>866</v>
      </c>
      <c r="R211" t="s">
        <v>867</v>
      </c>
      <c r="S211" t="s">
        <v>823</v>
      </c>
      <c r="T211" t="s">
        <v>1235</v>
      </c>
      <c r="U211" t="s">
        <v>639</v>
      </c>
      <c r="V211">
        <v>33.43</v>
      </c>
      <c r="W211">
        <v>-102.46</v>
      </c>
      <c r="X211">
        <v>1075</v>
      </c>
      <c r="Y211" t="s">
        <v>868</v>
      </c>
      <c r="Z211" t="s">
        <v>1334</v>
      </c>
      <c r="AA211" t="s">
        <v>1236</v>
      </c>
      <c r="AB211" t="s">
        <v>441</v>
      </c>
      <c r="AC211" t="s">
        <v>366</v>
      </c>
      <c r="AD211" t="s">
        <v>433</v>
      </c>
      <c r="AE211" t="s">
        <v>345</v>
      </c>
      <c r="AF211">
        <v>-0.66</v>
      </c>
      <c r="AG211">
        <v>0.41299999999999998</v>
      </c>
      <c r="AH211" t="s">
        <v>346</v>
      </c>
      <c r="AI211" t="s">
        <v>346</v>
      </c>
      <c r="AJ211" t="s">
        <v>592</v>
      </c>
      <c r="AK211">
        <v>102</v>
      </c>
      <c r="AL211" t="s">
        <v>377</v>
      </c>
      <c r="AM211" t="s">
        <v>347</v>
      </c>
      <c r="AN211" t="s">
        <v>348</v>
      </c>
      <c r="AO211" t="s">
        <v>349</v>
      </c>
      <c r="AP211" t="s">
        <v>492</v>
      </c>
      <c r="AQ211" t="s">
        <v>351</v>
      </c>
      <c r="AR211" t="s">
        <v>369</v>
      </c>
      <c r="AS211">
        <v>184</v>
      </c>
      <c r="AT211" t="s">
        <v>349</v>
      </c>
      <c r="AU211" t="s">
        <v>349</v>
      </c>
      <c r="AV211" t="s">
        <v>367</v>
      </c>
      <c r="AW211" t="s">
        <v>367</v>
      </c>
      <c r="AX211" t="s">
        <v>367</v>
      </c>
      <c r="AY211" t="s">
        <v>367</v>
      </c>
      <c r="AZ211" t="s">
        <v>367</v>
      </c>
      <c r="BA211" t="s">
        <v>367</v>
      </c>
      <c r="BB211" t="s">
        <v>367</v>
      </c>
      <c r="BC211">
        <v>12</v>
      </c>
    </row>
    <row r="212" spans="1:55" ht="15" customHeight="1" x14ac:dyDescent="0.35">
      <c r="A212" t="s">
        <v>1065</v>
      </c>
      <c r="B212" t="s">
        <v>1649</v>
      </c>
      <c r="C212" t="s">
        <v>1117</v>
      </c>
      <c r="D212" t="s">
        <v>186</v>
      </c>
      <c r="E212">
        <v>2013</v>
      </c>
      <c r="F212" t="s">
        <v>1116</v>
      </c>
      <c r="G212" t="s">
        <v>335</v>
      </c>
      <c r="H212" t="s">
        <v>335</v>
      </c>
      <c r="I212" t="s">
        <v>335</v>
      </c>
      <c r="J212" t="s">
        <v>339</v>
      </c>
      <c r="K212" t="s">
        <v>335</v>
      </c>
      <c r="L212" t="s">
        <v>335</v>
      </c>
      <c r="M212" t="s">
        <v>352</v>
      </c>
      <c r="N212" t="s">
        <v>352</v>
      </c>
      <c r="P212" t="s">
        <v>475</v>
      </c>
      <c r="Q212" t="s">
        <v>1195</v>
      </c>
      <c r="R212" t="s">
        <v>1196</v>
      </c>
      <c r="S212" t="s">
        <v>1194</v>
      </c>
      <c r="T212" t="s">
        <v>1249</v>
      </c>
      <c r="U212" t="s">
        <v>471</v>
      </c>
      <c r="V212">
        <v>51.665852000000001</v>
      </c>
      <c r="W212">
        <v>21.355132000000001</v>
      </c>
      <c r="X212">
        <v>425</v>
      </c>
      <c r="Y212" t="s">
        <v>945</v>
      </c>
      <c r="Z212" t="s">
        <v>1336</v>
      </c>
      <c r="AA212" t="s">
        <v>393</v>
      </c>
      <c r="AB212" t="s">
        <v>393</v>
      </c>
      <c r="AC212" t="s">
        <v>366</v>
      </c>
      <c r="AD212" t="s">
        <v>1041</v>
      </c>
      <c r="AE212" t="s">
        <v>364</v>
      </c>
      <c r="AF212">
        <v>3.3000000000000002E-2</v>
      </c>
      <c r="AG212">
        <v>1.4E-2</v>
      </c>
      <c r="AH212" t="s">
        <v>346</v>
      </c>
      <c r="AI212" t="s">
        <v>346</v>
      </c>
      <c r="AJ212" t="s">
        <v>592</v>
      </c>
      <c r="AK212">
        <v>70</v>
      </c>
      <c r="AL212" t="s">
        <v>377</v>
      </c>
      <c r="AM212" t="s">
        <v>347</v>
      </c>
      <c r="AN212" t="s">
        <v>348</v>
      </c>
      <c r="AO212" t="s">
        <v>349</v>
      </c>
      <c r="AP212" t="s">
        <v>350</v>
      </c>
      <c r="AQ212" t="s">
        <v>368</v>
      </c>
      <c r="AR212" t="s">
        <v>356</v>
      </c>
      <c r="AS212">
        <v>1355</v>
      </c>
      <c r="AT212" t="s">
        <v>349</v>
      </c>
      <c r="AU212" t="s">
        <v>367</v>
      </c>
      <c r="AV212" t="s">
        <v>367</v>
      </c>
      <c r="AW212" t="s">
        <v>349</v>
      </c>
      <c r="AX212" t="s">
        <v>349</v>
      </c>
      <c r="AY212" t="s">
        <v>349</v>
      </c>
      <c r="AZ212" t="s">
        <v>349</v>
      </c>
      <c r="BA212" t="s">
        <v>349</v>
      </c>
      <c r="BB212" t="s">
        <v>367</v>
      </c>
      <c r="BC212">
        <v>4.5</v>
      </c>
    </row>
    <row r="213" spans="1:55" ht="15" customHeight="1" x14ac:dyDescent="0.35">
      <c r="A213" t="s">
        <v>1065</v>
      </c>
      <c r="B213" t="s">
        <v>1649</v>
      </c>
      <c r="C213" t="s">
        <v>1117</v>
      </c>
      <c r="D213" t="s">
        <v>186</v>
      </c>
      <c r="E213">
        <v>2013</v>
      </c>
      <c r="F213" t="s">
        <v>1116</v>
      </c>
      <c r="G213" t="s">
        <v>335</v>
      </c>
      <c r="H213" t="s">
        <v>335</v>
      </c>
      <c r="I213" t="s">
        <v>335</v>
      </c>
      <c r="J213" t="s">
        <v>339</v>
      </c>
      <c r="K213" t="s">
        <v>335</v>
      </c>
      <c r="L213" t="s">
        <v>335</v>
      </c>
      <c r="M213" t="s">
        <v>352</v>
      </c>
      <c r="N213" t="s">
        <v>352</v>
      </c>
      <c r="P213" t="s">
        <v>475</v>
      </c>
      <c r="Q213" t="s">
        <v>1195</v>
      </c>
      <c r="R213" t="s">
        <v>1196</v>
      </c>
      <c r="S213" t="s">
        <v>1194</v>
      </c>
      <c r="T213" t="s">
        <v>1249</v>
      </c>
      <c r="U213" t="s">
        <v>471</v>
      </c>
      <c r="V213">
        <v>51.665852000000001</v>
      </c>
      <c r="W213">
        <v>21.355132000000001</v>
      </c>
      <c r="X213">
        <v>425</v>
      </c>
      <c r="Y213" t="s">
        <v>945</v>
      </c>
      <c r="Z213" t="s">
        <v>1197</v>
      </c>
      <c r="AA213" t="s">
        <v>1236</v>
      </c>
      <c r="AB213" t="s">
        <v>1335</v>
      </c>
      <c r="AC213" t="s">
        <v>366</v>
      </c>
      <c r="AD213" t="s">
        <v>1173</v>
      </c>
      <c r="AE213" t="s">
        <v>354</v>
      </c>
      <c r="AF213">
        <v>8.0000000000000002E-3</v>
      </c>
      <c r="AG213">
        <v>9.0999999999999998E-2</v>
      </c>
      <c r="AH213" t="s">
        <v>346</v>
      </c>
      <c r="AI213" t="s">
        <v>346</v>
      </c>
      <c r="AJ213" t="s">
        <v>592</v>
      </c>
      <c r="AK213">
        <v>90</v>
      </c>
      <c r="AL213" t="s">
        <v>377</v>
      </c>
      <c r="AM213" t="s">
        <v>347</v>
      </c>
      <c r="AN213" t="s">
        <v>348</v>
      </c>
      <c r="AO213" t="s">
        <v>349</v>
      </c>
      <c r="AP213" t="s">
        <v>350</v>
      </c>
      <c r="AQ213" t="s">
        <v>368</v>
      </c>
      <c r="AR213" t="s">
        <v>356</v>
      </c>
      <c r="AS213">
        <v>1355</v>
      </c>
      <c r="AT213" t="s">
        <v>349</v>
      </c>
      <c r="AU213" t="s">
        <v>367</v>
      </c>
      <c r="AV213" t="s">
        <v>367</v>
      </c>
      <c r="AW213" t="s">
        <v>349</v>
      </c>
      <c r="AX213" t="s">
        <v>349</v>
      </c>
      <c r="AY213" t="s">
        <v>349</v>
      </c>
      <c r="AZ213" t="s">
        <v>349</v>
      </c>
      <c r="BA213" t="s">
        <v>349</v>
      </c>
      <c r="BB213" t="s">
        <v>367</v>
      </c>
      <c r="BC213">
        <v>4.5</v>
      </c>
    </row>
    <row r="214" spans="1:55" ht="15" customHeight="1" x14ac:dyDescent="0.35">
      <c r="A214" t="s">
        <v>995</v>
      </c>
      <c r="B214" t="s">
        <v>1650</v>
      </c>
      <c r="C214" t="s">
        <v>260</v>
      </c>
      <c r="D214" t="s">
        <v>261</v>
      </c>
      <c r="E214">
        <v>2005</v>
      </c>
      <c r="F214" t="s">
        <v>262</v>
      </c>
      <c r="G214" t="s">
        <v>335</v>
      </c>
      <c r="H214" t="s">
        <v>335</v>
      </c>
      <c r="I214" t="s">
        <v>335</v>
      </c>
      <c r="J214" t="s">
        <v>339</v>
      </c>
      <c r="K214" t="s">
        <v>335</v>
      </c>
      <c r="L214" t="s">
        <v>335</v>
      </c>
      <c r="M214" t="s">
        <v>352</v>
      </c>
      <c r="N214" t="s">
        <v>335</v>
      </c>
      <c r="P214" t="s">
        <v>836</v>
      </c>
      <c r="Q214" t="s">
        <v>870</v>
      </c>
      <c r="R214" t="s">
        <v>871</v>
      </c>
      <c r="S214" t="s">
        <v>869</v>
      </c>
      <c r="T214" t="s">
        <v>1235</v>
      </c>
      <c r="U214" t="s">
        <v>1239</v>
      </c>
      <c r="V214">
        <v>50.12</v>
      </c>
      <c r="W214">
        <v>15.57</v>
      </c>
      <c r="X214">
        <v>263</v>
      </c>
      <c r="Y214" t="s">
        <v>872</v>
      </c>
      <c r="AA214" t="s">
        <v>1236</v>
      </c>
      <c r="AB214" t="s">
        <v>384</v>
      </c>
      <c r="AC214" t="s">
        <v>1237</v>
      </c>
      <c r="AD214" t="s">
        <v>1337</v>
      </c>
      <c r="AE214" t="s">
        <v>354</v>
      </c>
      <c r="AF214" t="s">
        <v>346</v>
      </c>
      <c r="AG214" t="s">
        <v>346</v>
      </c>
      <c r="AH214" t="s">
        <v>346</v>
      </c>
      <c r="AI214" t="s">
        <v>346</v>
      </c>
      <c r="AJ214" t="s">
        <v>339</v>
      </c>
      <c r="AK214">
        <v>90</v>
      </c>
      <c r="AL214" t="s">
        <v>377</v>
      </c>
      <c r="AM214" t="s">
        <v>339</v>
      </c>
      <c r="AN214" t="s">
        <v>410</v>
      </c>
      <c r="AO214" t="s">
        <v>367</v>
      </c>
      <c r="AP214" t="s">
        <v>411</v>
      </c>
      <c r="AQ214" t="s">
        <v>368</v>
      </c>
      <c r="AR214" t="s">
        <v>369</v>
      </c>
      <c r="AS214">
        <v>17</v>
      </c>
      <c r="AT214" t="s">
        <v>349</v>
      </c>
      <c r="AU214" t="s">
        <v>367</v>
      </c>
      <c r="AV214" t="s">
        <v>349</v>
      </c>
      <c r="AW214" t="s">
        <v>367</v>
      </c>
      <c r="AX214" t="s">
        <v>367</v>
      </c>
      <c r="AY214" t="s">
        <v>367</v>
      </c>
      <c r="AZ214" t="s">
        <v>367</v>
      </c>
      <c r="BA214" t="s">
        <v>367</v>
      </c>
      <c r="BB214" t="s">
        <v>367</v>
      </c>
      <c r="BC214">
        <v>6</v>
      </c>
    </row>
    <row r="215" spans="1:55" ht="15" customHeight="1" x14ac:dyDescent="0.35">
      <c r="A215" t="s">
        <v>995</v>
      </c>
      <c r="B215" t="s">
        <v>1651</v>
      </c>
      <c r="C215" t="s">
        <v>263</v>
      </c>
      <c r="D215" t="s">
        <v>133</v>
      </c>
      <c r="E215" t="str">
        <f>"Feb2018"</f>
        <v>Feb2018</v>
      </c>
      <c r="F215" t="s">
        <v>264</v>
      </c>
      <c r="G215" t="s">
        <v>335</v>
      </c>
      <c r="H215" t="s">
        <v>335</v>
      </c>
      <c r="I215" t="s">
        <v>335</v>
      </c>
      <c r="J215" t="s">
        <v>339</v>
      </c>
      <c r="K215" t="s">
        <v>335</v>
      </c>
      <c r="L215" t="s">
        <v>335</v>
      </c>
      <c r="M215" t="s">
        <v>352</v>
      </c>
      <c r="N215" t="s">
        <v>335</v>
      </c>
      <c r="P215" t="s">
        <v>395</v>
      </c>
      <c r="Q215" t="s">
        <v>874</v>
      </c>
      <c r="R215" t="s">
        <v>875</v>
      </c>
      <c r="S215" t="s">
        <v>873</v>
      </c>
      <c r="T215" t="s">
        <v>1235</v>
      </c>
      <c r="U215" t="s">
        <v>639</v>
      </c>
      <c r="V215">
        <v>37.933669000000002</v>
      </c>
      <c r="W215">
        <v>-122.736509</v>
      </c>
      <c r="X215">
        <v>240</v>
      </c>
      <c r="Y215" t="s">
        <v>876</v>
      </c>
      <c r="Z215" t="s">
        <v>1338</v>
      </c>
      <c r="AA215" t="s">
        <v>1247</v>
      </c>
      <c r="AB215" t="s">
        <v>400</v>
      </c>
      <c r="AC215" t="s">
        <v>1241</v>
      </c>
      <c r="AD215" t="s">
        <v>1258</v>
      </c>
      <c r="AE215" t="s">
        <v>354</v>
      </c>
      <c r="AF215" t="s">
        <v>346</v>
      </c>
      <c r="AG215" t="s">
        <v>346</v>
      </c>
      <c r="AH215" t="s">
        <v>346</v>
      </c>
      <c r="AI215" t="s">
        <v>346</v>
      </c>
      <c r="AJ215" t="s">
        <v>339</v>
      </c>
      <c r="AK215">
        <v>447</v>
      </c>
      <c r="AL215" t="s">
        <v>377</v>
      </c>
      <c r="AM215" t="s">
        <v>339</v>
      </c>
      <c r="AN215" t="s">
        <v>348</v>
      </c>
      <c r="AO215" t="s">
        <v>367</v>
      </c>
      <c r="AP215" t="s">
        <v>386</v>
      </c>
      <c r="AQ215" t="s">
        <v>368</v>
      </c>
      <c r="AR215" t="s">
        <v>369</v>
      </c>
      <c r="AS215">
        <v>26</v>
      </c>
      <c r="AT215" t="s">
        <v>349</v>
      </c>
      <c r="AU215" t="s">
        <v>349</v>
      </c>
      <c r="AV215" t="s">
        <v>367</v>
      </c>
      <c r="AW215" t="s">
        <v>367</v>
      </c>
      <c r="AX215" t="s">
        <v>367</v>
      </c>
      <c r="AY215" t="s">
        <v>367</v>
      </c>
      <c r="AZ215" t="s">
        <v>367</v>
      </c>
      <c r="BA215" t="s">
        <v>367</v>
      </c>
      <c r="BB215" t="s">
        <v>367</v>
      </c>
      <c r="BC215">
        <v>4</v>
      </c>
    </row>
    <row r="216" spans="1:55" ht="15" customHeight="1" x14ac:dyDescent="0.35">
      <c r="A216" t="s">
        <v>995</v>
      </c>
      <c r="B216" t="s">
        <v>1652</v>
      </c>
      <c r="C216" t="s">
        <v>1699</v>
      </c>
      <c r="D216" t="s">
        <v>18</v>
      </c>
      <c r="E216">
        <v>2007</v>
      </c>
      <c r="F216" t="s">
        <v>265</v>
      </c>
      <c r="G216" t="s">
        <v>335</v>
      </c>
      <c r="H216" t="s">
        <v>335</v>
      </c>
      <c r="I216" t="s">
        <v>335</v>
      </c>
      <c r="J216" t="s">
        <v>339</v>
      </c>
      <c r="K216" t="s">
        <v>335</v>
      </c>
      <c r="L216" t="s">
        <v>335</v>
      </c>
      <c r="M216" t="s">
        <v>352</v>
      </c>
      <c r="N216" t="s">
        <v>335</v>
      </c>
      <c r="P216" t="s">
        <v>401</v>
      </c>
      <c r="Q216" t="s">
        <v>402</v>
      </c>
      <c r="R216" t="s">
        <v>403</v>
      </c>
      <c r="S216" t="s">
        <v>404</v>
      </c>
      <c r="T216" t="s">
        <v>1235</v>
      </c>
      <c r="U216" t="s">
        <v>639</v>
      </c>
      <c r="V216">
        <v>26.957720999999999</v>
      </c>
      <c r="W216">
        <v>-98.001609999999999</v>
      </c>
      <c r="X216">
        <v>125</v>
      </c>
      <c r="Y216" t="s">
        <v>755</v>
      </c>
      <c r="AA216" t="s">
        <v>1247</v>
      </c>
      <c r="AB216" t="s">
        <v>400</v>
      </c>
      <c r="AC216" t="s">
        <v>1237</v>
      </c>
      <c r="AD216" t="s">
        <v>877</v>
      </c>
      <c r="AE216" t="s">
        <v>345</v>
      </c>
      <c r="AF216" t="s">
        <v>346</v>
      </c>
      <c r="AG216" t="s">
        <v>346</v>
      </c>
      <c r="AH216" t="s">
        <v>346</v>
      </c>
      <c r="AI216" t="s">
        <v>346</v>
      </c>
      <c r="AJ216" t="s">
        <v>339</v>
      </c>
      <c r="AK216">
        <v>123</v>
      </c>
      <c r="AL216" t="s">
        <v>377</v>
      </c>
      <c r="AM216" t="s">
        <v>347</v>
      </c>
      <c r="AN216" t="s">
        <v>348</v>
      </c>
      <c r="AO216" t="s">
        <v>349</v>
      </c>
      <c r="AP216" t="s">
        <v>355</v>
      </c>
      <c r="AQ216" t="s">
        <v>351</v>
      </c>
      <c r="AR216" t="s">
        <v>369</v>
      </c>
      <c r="AS216">
        <v>155</v>
      </c>
      <c r="AT216" t="s">
        <v>349</v>
      </c>
      <c r="AU216" t="s">
        <v>349</v>
      </c>
      <c r="AV216" t="s">
        <v>367</v>
      </c>
      <c r="AW216" t="s">
        <v>367</v>
      </c>
      <c r="AX216" t="s">
        <v>367</v>
      </c>
      <c r="AY216" t="s">
        <v>367</v>
      </c>
      <c r="AZ216" t="s">
        <v>367</v>
      </c>
      <c r="BA216" t="s">
        <v>367</v>
      </c>
      <c r="BB216" t="s">
        <v>367</v>
      </c>
      <c r="BC216">
        <v>13</v>
      </c>
    </row>
    <row r="217" spans="1:55" ht="15" customHeight="1" x14ac:dyDescent="0.35">
      <c r="A217" t="s">
        <v>995</v>
      </c>
      <c r="B217" t="s">
        <v>1653</v>
      </c>
      <c r="C217" t="s">
        <v>266</v>
      </c>
      <c r="D217" t="s">
        <v>34</v>
      </c>
      <c r="E217">
        <v>2003</v>
      </c>
      <c r="F217" t="s">
        <v>267</v>
      </c>
      <c r="G217" t="s">
        <v>335</v>
      </c>
      <c r="H217" t="s">
        <v>335</v>
      </c>
      <c r="I217" t="s">
        <v>335</v>
      </c>
      <c r="J217" t="s">
        <v>339</v>
      </c>
      <c r="K217" t="s">
        <v>335</v>
      </c>
      <c r="L217" t="s">
        <v>335</v>
      </c>
      <c r="M217" t="s">
        <v>352</v>
      </c>
      <c r="N217" t="s">
        <v>335</v>
      </c>
      <c r="P217" t="s">
        <v>882</v>
      </c>
      <c r="Q217" t="s">
        <v>883</v>
      </c>
      <c r="R217" t="s">
        <v>884</v>
      </c>
      <c r="S217" t="s">
        <v>878</v>
      </c>
      <c r="T217" t="s">
        <v>1235</v>
      </c>
      <c r="U217" t="s">
        <v>1239</v>
      </c>
      <c r="V217">
        <v>-32.43</v>
      </c>
      <c r="W217">
        <v>28.19</v>
      </c>
      <c r="X217">
        <v>458</v>
      </c>
      <c r="Y217" t="s">
        <v>881</v>
      </c>
      <c r="Z217" t="s">
        <v>880</v>
      </c>
      <c r="AA217" t="s">
        <v>1236</v>
      </c>
      <c r="AB217" t="s">
        <v>915</v>
      </c>
      <c r="AC217" t="s">
        <v>1241</v>
      </c>
      <c r="AD217" t="s">
        <v>879</v>
      </c>
      <c r="AE217" t="s">
        <v>364</v>
      </c>
      <c r="AF217" s="7">
        <v>0.24</v>
      </c>
      <c r="AG217" t="s">
        <v>346</v>
      </c>
      <c r="AH217" t="s">
        <v>346</v>
      </c>
      <c r="AI217" t="s">
        <v>346</v>
      </c>
      <c r="AJ217" t="s">
        <v>838</v>
      </c>
      <c r="AK217">
        <v>18</v>
      </c>
      <c r="AL217" t="s">
        <v>807</v>
      </c>
      <c r="AM217" t="s">
        <v>366</v>
      </c>
      <c r="AN217" t="s">
        <v>410</v>
      </c>
      <c r="AO217" t="s">
        <v>367</v>
      </c>
      <c r="AP217" t="s">
        <v>411</v>
      </c>
      <c r="AQ217" t="s">
        <v>368</v>
      </c>
      <c r="AR217" t="s">
        <v>535</v>
      </c>
      <c r="AS217">
        <v>75</v>
      </c>
      <c r="AT217" t="s">
        <v>349</v>
      </c>
      <c r="AU217" t="s">
        <v>349</v>
      </c>
      <c r="AV217" t="s">
        <v>367</v>
      </c>
      <c r="AW217" t="s">
        <v>367</v>
      </c>
      <c r="AX217" t="s">
        <v>367</v>
      </c>
      <c r="AY217" t="s">
        <v>367</v>
      </c>
      <c r="AZ217" t="s">
        <v>367</v>
      </c>
      <c r="BA217" t="s">
        <v>367</v>
      </c>
      <c r="BB217" t="s">
        <v>367</v>
      </c>
      <c r="BC217">
        <v>3.5</v>
      </c>
    </row>
    <row r="218" spans="1:55" ht="15" customHeight="1" x14ac:dyDescent="0.35">
      <c r="A218" t="s">
        <v>995</v>
      </c>
      <c r="B218" t="s">
        <v>1654</v>
      </c>
      <c r="C218" t="s">
        <v>268</v>
      </c>
      <c r="D218" t="s">
        <v>33</v>
      </c>
      <c r="E218" t="str">
        <f>"2001"</f>
        <v>2001</v>
      </c>
      <c r="F218" t="s">
        <v>269</v>
      </c>
      <c r="G218" t="s">
        <v>335</v>
      </c>
      <c r="H218" t="s">
        <v>335</v>
      </c>
      <c r="I218" t="s">
        <v>335</v>
      </c>
      <c r="J218" t="s">
        <v>339</v>
      </c>
      <c r="K218" t="s">
        <v>335</v>
      </c>
      <c r="L218" t="s">
        <v>335</v>
      </c>
      <c r="M218" t="s">
        <v>352</v>
      </c>
      <c r="N218" t="s">
        <v>335</v>
      </c>
      <c r="P218" t="s">
        <v>886</v>
      </c>
      <c r="Q218" t="s">
        <v>887</v>
      </c>
      <c r="R218" t="s">
        <v>532</v>
      </c>
      <c r="S218" t="s">
        <v>1339</v>
      </c>
      <c r="T218" t="s">
        <v>1249</v>
      </c>
      <c r="U218" t="s">
        <v>422</v>
      </c>
      <c r="V218">
        <v>-41.05</v>
      </c>
      <c r="W218">
        <v>174.15</v>
      </c>
      <c r="X218">
        <v>200</v>
      </c>
      <c r="Y218" t="s">
        <v>885</v>
      </c>
      <c r="Z218" t="s">
        <v>1340</v>
      </c>
      <c r="AA218" t="s">
        <v>1236</v>
      </c>
      <c r="AB218" t="s">
        <v>406</v>
      </c>
      <c r="AC218" t="s">
        <v>1241</v>
      </c>
      <c r="AD218" t="s">
        <v>1258</v>
      </c>
      <c r="AE218" t="s">
        <v>364</v>
      </c>
      <c r="AF218" t="s">
        <v>346</v>
      </c>
      <c r="AG218" t="s">
        <v>346</v>
      </c>
      <c r="AH218" t="s">
        <v>346</v>
      </c>
      <c r="AI218" t="s">
        <v>346</v>
      </c>
      <c r="AJ218" t="s">
        <v>339</v>
      </c>
      <c r="AK218">
        <v>77</v>
      </c>
      <c r="AL218" t="s">
        <v>377</v>
      </c>
      <c r="AM218" t="s">
        <v>366</v>
      </c>
      <c r="AN218" t="s">
        <v>410</v>
      </c>
      <c r="AO218" t="s">
        <v>349</v>
      </c>
      <c r="AP218" t="s">
        <v>497</v>
      </c>
      <c r="AQ218" t="s">
        <v>368</v>
      </c>
      <c r="AR218" t="s">
        <v>369</v>
      </c>
      <c r="AS218">
        <v>1300</v>
      </c>
      <c r="AT218" t="s">
        <v>367</v>
      </c>
      <c r="AU218" t="s">
        <v>367</v>
      </c>
      <c r="AV218" t="s">
        <v>367</v>
      </c>
      <c r="AW218" t="s">
        <v>367</v>
      </c>
      <c r="AX218" t="s">
        <v>349</v>
      </c>
      <c r="AY218" t="s">
        <v>367</v>
      </c>
      <c r="AZ218" t="s">
        <v>367</v>
      </c>
      <c r="BA218" t="s">
        <v>367</v>
      </c>
      <c r="BB218" t="s">
        <v>367</v>
      </c>
      <c r="BC218">
        <v>2</v>
      </c>
    </row>
    <row r="219" spans="1:55" ht="15" customHeight="1" x14ac:dyDescent="0.35">
      <c r="A219" t="s">
        <v>995</v>
      </c>
      <c r="B219" t="s">
        <v>1655</v>
      </c>
      <c r="C219" t="s">
        <v>270</v>
      </c>
      <c r="D219" t="s">
        <v>37</v>
      </c>
      <c r="E219">
        <v>2004</v>
      </c>
      <c r="F219" t="s">
        <v>271</v>
      </c>
      <c r="G219" t="s">
        <v>335</v>
      </c>
      <c r="H219" t="s">
        <v>335</v>
      </c>
      <c r="I219" t="s">
        <v>335</v>
      </c>
      <c r="J219" t="s">
        <v>339</v>
      </c>
      <c r="K219" t="s">
        <v>335</v>
      </c>
      <c r="L219" t="s">
        <v>335</v>
      </c>
      <c r="M219" t="s">
        <v>352</v>
      </c>
      <c r="N219" t="s">
        <v>335</v>
      </c>
      <c r="P219" t="s">
        <v>894</v>
      </c>
      <c r="Q219" t="s">
        <v>889</v>
      </c>
      <c r="R219" t="s">
        <v>891</v>
      </c>
      <c r="S219" t="s">
        <v>888</v>
      </c>
      <c r="T219" t="s">
        <v>1235</v>
      </c>
      <c r="U219" t="s">
        <v>665</v>
      </c>
      <c r="V219">
        <v>19.486992000000001</v>
      </c>
      <c r="W219">
        <v>-104.99496000000001</v>
      </c>
      <c r="X219">
        <v>180</v>
      </c>
      <c r="Y219" t="s">
        <v>893</v>
      </c>
      <c r="Z219" t="s">
        <v>1341</v>
      </c>
      <c r="AA219" t="s">
        <v>393</v>
      </c>
      <c r="AB219" t="s">
        <v>393</v>
      </c>
      <c r="AC219" t="s">
        <v>1241</v>
      </c>
      <c r="AD219" t="s">
        <v>892</v>
      </c>
      <c r="AE219" t="s">
        <v>345</v>
      </c>
      <c r="AF219">
        <v>0.74</v>
      </c>
      <c r="AG219" t="s">
        <v>346</v>
      </c>
      <c r="AH219" t="s">
        <v>346</v>
      </c>
      <c r="AI219" t="s">
        <v>346</v>
      </c>
      <c r="AJ219" t="s">
        <v>838</v>
      </c>
      <c r="AK219">
        <v>50</v>
      </c>
      <c r="AL219" t="s">
        <v>477</v>
      </c>
      <c r="AM219" t="s">
        <v>347</v>
      </c>
      <c r="AN219" t="s">
        <v>410</v>
      </c>
      <c r="AO219" t="s">
        <v>367</v>
      </c>
      <c r="AP219" t="s">
        <v>411</v>
      </c>
      <c r="AQ219" t="s">
        <v>368</v>
      </c>
      <c r="AR219" t="s">
        <v>369</v>
      </c>
      <c r="AS219">
        <v>304</v>
      </c>
      <c r="AT219" t="s">
        <v>367</v>
      </c>
      <c r="AU219" t="s">
        <v>349</v>
      </c>
      <c r="AV219" t="s">
        <v>349</v>
      </c>
      <c r="AW219" t="s">
        <v>367</v>
      </c>
      <c r="AX219" t="s">
        <v>367</v>
      </c>
      <c r="AY219" t="s">
        <v>367</v>
      </c>
      <c r="AZ219" t="s">
        <v>367</v>
      </c>
      <c r="BA219" t="s">
        <v>367</v>
      </c>
      <c r="BB219" t="s">
        <v>367</v>
      </c>
      <c r="BC219">
        <v>2.5</v>
      </c>
    </row>
    <row r="220" spans="1:55" ht="15" customHeight="1" x14ac:dyDescent="0.35">
      <c r="A220" t="s">
        <v>995</v>
      </c>
      <c r="B220" t="s">
        <v>1656</v>
      </c>
      <c r="C220" t="s">
        <v>272</v>
      </c>
      <c r="D220" t="s">
        <v>17</v>
      </c>
      <c r="E220">
        <v>1996</v>
      </c>
      <c r="F220" t="s">
        <v>273</v>
      </c>
      <c r="G220" t="s">
        <v>335</v>
      </c>
      <c r="H220" t="s">
        <v>335</v>
      </c>
      <c r="I220" t="s">
        <v>335</v>
      </c>
      <c r="J220" t="s">
        <v>339</v>
      </c>
      <c r="K220" t="s">
        <v>335</v>
      </c>
      <c r="L220" t="s">
        <v>335</v>
      </c>
      <c r="M220" t="s">
        <v>352</v>
      </c>
      <c r="N220" t="s">
        <v>352</v>
      </c>
      <c r="P220" t="s">
        <v>541</v>
      </c>
      <c r="Q220" t="s">
        <v>898</v>
      </c>
      <c r="R220" t="s">
        <v>899</v>
      </c>
      <c r="S220" t="s">
        <v>897</v>
      </c>
      <c r="T220" t="s">
        <v>348</v>
      </c>
      <c r="U220" t="s">
        <v>344</v>
      </c>
      <c r="V220">
        <v>46.55</v>
      </c>
      <c r="W220">
        <v>-114.6</v>
      </c>
      <c r="X220">
        <v>1666</v>
      </c>
      <c r="Y220">
        <v>1994</v>
      </c>
      <c r="AA220" t="s">
        <v>1236</v>
      </c>
      <c r="AB220" t="s">
        <v>363</v>
      </c>
      <c r="AC220" t="s">
        <v>366</v>
      </c>
      <c r="AD220" t="s">
        <v>896</v>
      </c>
      <c r="AE220" t="s">
        <v>345</v>
      </c>
      <c r="AF220">
        <v>0.752</v>
      </c>
      <c r="AG220">
        <v>0.19400000000000001</v>
      </c>
      <c r="AH220" t="s">
        <v>346</v>
      </c>
      <c r="AI220" t="s">
        <v>346</v>
      </c>
      <c r="AJ220" t="s">
        <v>592</v>
      </c>
      <c r="AK220">
        <v>107</v>
      </c>
      <c r="AL220" t="s">
        <v>377</v>
      </c>
      <c r="AM220" t="s">
        <v>366</v>
      </c>
      <c r="AN220" t="s">
        <v>348</v>
      </c>
      <c r="AO220" t="s">
        <v>367</v>
      </c>
      <c r="AP220" t="s">
        <v>424</v>
      </c>
      <c r="AQ220" t="s">
        <v>368</v>
      </c>
      <c r="AR220" t="s">
        <v>369</v>
      </c>
      <c r="AS220">
        <v>178</v>
      </c>
      <c r="AT220" t="s">
        <v>349</v>
      </c>
      <c r="AU220" t="s">
        <v>349</v>
      </c>
      <c r="AV220" t="s">
        <v>367</v>
      </c>
      <c r="AW220" t="s">
        <v>367</v>
      </c>
      <c r="AX220" t="s">
        <v>367</v>
      </c>
      <c r="AY220" t="s">
        <v>367</v>
      </c>
      <c r="AZ220" t="s">
        <v>367</v>
      </c>
      <c r="BA220" t="s">
        <v>367</v>
      </c>
      <c r="BB220" t="s">
        <v>349</v>
      </c>
      <c r="BC220">
        <v>6.5</v>
      </c>
    </row>
    <row r="221" spans="1:55" ht="15" customHeight="1" x14ac:dyDescent="0.35">
      <c r="A221" t="s">
        <v>995</v>
      </c>
      <c r="B221" t="s">
        <v>1656</v>
      </c>
      <c r="C221" t="s">
        <v>272</v>
      </c>
      <c r="D221" t="s">
        <v>17</v>
      </c>
      <c r="E221">
        <v>1996</v>
      </c>
      <c r="F221" t="s">
        <v>273</v>
      </c>
      <c r="G221" t="s">
        <v>335</v>
      </c>
      <c r="H221" t="s">
        <v>335</v>
      </c>
      <c r="I221" t="s">
        <v>335</v>
      </c>
      <c r="J221" t="s">
        <v>339</v>
      </c>
      <c r="K221" t="s">
        <v>335</v>
      </c>
      <c r="L221" t="s">
        <v>335</v>
      </c>
      <c r="M221" t="s">
        <v>352</v>
      </c>
      <c r="N221" t="s">
        <v>352</v>
      </c>
      <c r="P221" t="s">
        <v>541</v>
      </c>
      <c r="Q221" t="s">
        <v>898</v>
      </c>
      <c r="R221" t="s">
        <v>899</v>
      </c>
      <c r="S221" t="s">
        <v>897</v>
      </c>
      <c r="T221" t="s">
        <v>348</v>
      </c>
      <c r="U221" t="s">
        <v>344</v>
      </c>
      <c r="V221">
        <v>46.55</v>
      </c>
      <c r="W221">
        <v>-114.6</v>
      </c>
      <c r="X221">
        <v>1666</v>
      </c>
      <c r="Y221">
        <v>1994</v>
      </c>
      <c r="AA221" t="s">
        <v>1236</v>
      </c>
      <c r="AB221" t="s">
        <v>363</v>
      </c>
      <c r="AC221" t="s">
        <v>366</v>
      </c>
      <c r="AD221" t="s">
        <v>895</v>
      </c>
      <c r="AE221" t="s">
        <v>345</v>
      </c>
      <c r="AF221">
        <v>0.77700000000000002</v>
      </c>
      <c r="AG221">
        <v>0.18</v>
      </c>
      <c r="AH221" t="s">
        <v>346</v>
      </c>
      <c r="AI221" t="s">
        <v>346</v>
      </c>
      <c r="AJ221" t="s">
        <v>592</v>
      </c>
      <c r="AK221">
        <v>110</v>
      </c>
      <c r="AL221" t="s">
        <v>377</v>
      </c>
      <c r="AM221" t="s">
        <v>366</v>
      </c>
      <c r="AN221" t="s">
        <v>348</v>
      </c>
      <c r="AO221" t="s">
        <v>367</v>
      </c>
      <c r="AP221" t="s">
        <v>424</v>
      </c>
      <c r="AQ221" t="s">
        <v>368</v>
      </c>
      <c r="AR221" t="s">
        <v>369</v>
      </c>
      <c r="AS221">
        <v>178</v>
      </c>
      <c r="AT221" t="s">
        <v>349</v>
      </c>
      <c r="AU221" t="s">
        <v>349</v>
      </c>
      <c r="AV221" t="s">
        <v>367</v>
      </c>
      <c r="AW221" t="s">
        <v>367</v>
      </c>
      <c r="AX221" t="s">
        <v>367</v>
      </c>
      <c r="AY221" t="s">
        <v>367</v>
      </c>
      <c r="AZ221" t="s">
        <v>367</v>
      </c>
      <c r="BA221" t="s">
        <v>367</v>
      </c>
      <c r="BB221" t="s">
        <v>349</v>
      </c>
      <c r="BC221">
        <v>6.5</v>
      </c>
    </row>
    <row r="222" spans="1:55" ht="15" customHeight="1" x14ac:dyDescent="0.35">
      <c r="A222" t="s">
        <v>995</v>
      </c>
      <c r="B222" t="s">
        <v>1657</v>
      </c>
      <c r="C222" t="s">
        <v>1399</v>
      </c>
      <c r="D222" t="s">
        <v>30</v>
      </c>
      <c r="E222">
        <v>2023</v>
      </c>
      <c r="F222" t="s">
        <v>1400</v>
      </c>
      <c r="G222" t="s">
        <v>335</v>
      </c>
      <c r="H222" t="s">
        <v>352</v>
      </c>
      <c r="I222" t="s">
        <v>335</v>
      </c>
      <c r="J222" t="s">
        <v>339</v>
      </c>
      <c r="K222" t="s">
        <v>335</v>
      </c>
      <c r="L222" t="s">
        <v>352</v>
      </c>
      <c r="M222" t="s">
        <v>352</v>
      </c>
      <c r="N222" t="s">
        <v>352</v>
      </c>
      <c r="P222" t="s">
        <v>418</v>
      </c>
      <c r="Q222" t="s">
        <v>1502</v>
      </c>
      <c r="R222" t="s">
        <v>1503</v>
      </c>
      <c r="S222" t="s">
        <v>1501</v>
      </c>
      <c r="T222" t="s">
        <v>1235</v>
      </c>
      <c r="U222" t="s">
        <v>506</v>
      </c>
      <c r="V222">
        <v>38.514825999999999</v>
      </c>
      <c r="W222">
        <v>-122.10423299999999</v>
      </c>
      <c r="X222">
        <v>60</v>
      </c>
      <c r="Y222" t="s">
        <v>1499</v>
      </c>
      <c r="AA222" t="s">
        <v>1236</v>
      </c>
      <c r="AB222" t="s">
        <v>514</v>
      </c>
      <c r="AC222" t="s">
        <v>366</v>
      </c>
      <c r="AD222" t="s">
        <v>1500</v>
      </c>
      <c r="AE222" t="s">
        <v>364</v>
      </c>
      <c r="AF222">
        <v>-0.15260000000000001</v>
      </c>
      <c r="AG222">
        <v>8.4199999999999997E-2</v>
      </c>
      <c r="AH222" t="s">
        <v>346</v>
      </c>
      <c r="AI222" t="s">
        <v>346</v>
      </c>
      <c r="AJ222" t="s">
        <v>592</v>
      </c>
      <c r="AK222">
        <v>367</v>
      </c>
      <c r="AL222" t="s">
        <v>377</v>
      </c>
      <c r="AM222" t="s">
        <v>347</v>
      </c>
      <c r="AN222" t="s">
        <v>410</v>
      </c>
      <c r="AO222" t="s">
        <v>367</v>
      </c>
      <c r="AP222" t="s">
        <v>411</v>
      </c>
      <c r="AQ222" t="s">
        <v>368</v>
      </c>
      <c r="AR222" t="s">
        <v>369</v>
      </c>
      <c r="AS222">
        <v>11</v>
      </c>
      <c r="AT222" t="s">
        <v>349</v>
      </c>
      <c r="AU222" t="s">
        <v>367</v>
      </c>
      <c r="AV222" t="s">
        <v>367</v>
      </c>
      <c r="AW222" t="s">
        <v>367</v>
      </c>
      <c r="AX222" t="s">
        <v>367</v>
      </c>
      <c r="AY222" t="s">
        <v>367</v>
      </c>
      <c r="AZ222" t="s">
        <v>367</v>
      </c>
      <c r="BA222" t="s">
        <v>367</v>
      </c>
      <c r="BB222" t="s">
        <v>367</v>
      </c>
      <c r="BC222">
        <v>6</v>
      </c>
    </row>
    <row r="223" spans="1:55" ht="15" customHeight="1" x14ac:dyDescent="0.35">
      <c r="A223" t="s">
        <v>995</v>
      </c>
      <c r="B223" t="s">
        <v>1657</v>
      </c>
      <c r="C223" t="s">
        <v>1399</v>
      </c>
      <c r="D223" t="s">
        <v>30</v>
      </c>
      <c r="E223">
        <v>2023</v>
      </c>
      <c r="F223" t="s">
        <v>1400</v>
      </c>
      <c r="G223" t="s">
        <v>335</v>
      </c>
      <c r="H223" t="s">
        <v>352</v>
      </c>
      <c r="I223" t="s">
        <v>335</v>
      </c>
      <c r="J223" t="s">
        <v>339</v>
      </c>
      <c r="K223" t="s">
        <v>335</v>
      </c>
      <c r="L223" t="s">
        <v>352</v>
      </c>
      <c r="M223" t="s">
        <v>352</v>
      </c>
      <c r="N223" t="s">
        <v>352</v>
      </c>
      <c r="P223" t="s">
        <v>461</v>
      </c>
      <c r="Q223" t="s">
        <v>508</v>
      </c>
      <c r="R223" t="s">
        <v>509</v>
      </c>
      <c r="S223" t="s">
        <v>507</v>
      </c>
      <c r="T223" t="s">
        <v>1235</v>
      </c>
      <c r="U223" t="s">
        <v>506</v>
      </c>
      <c r="V223">
        <v>38.514825999999999</v>
      </c>
      <c r="W223">
        <v>-122.10423299999999</v>
      </c>
      <c r="X223">
        <v>60</v>
      </c>
      <c r="Y223" t="s">
        <v>1499</v>
      </c>
      <c r="AA223" t="s">
        <v>1236</v>
      </c>
      <c r="AB223" t="s">
        <v>514</v>
      </c>
      <c r="AC223" t="s">
        <v>366</v>
      </c>
      <c r="AD223" t="s">
        <v>1500</v>
      </c>
      <c r="AE223" t="s">
        <v>364</v>
      </c>
      <c r="AF223">
        <v>-0.49919999999999998</v>
      </c>
      <c r="AG223">
        <v>5.3100000000000001E-2</v>
      </c>
      <c r="AH223" t="s">
        <v>346</v>
      </c>
      <c r="AI223" t="s">
        <v>346</v>
      </c>
      <c r="AJ223" t="s">
        <v>592</v>
      </c>
      <c r="AK223">
        <v>1140</v>
      </c>
      <c r="AL223" t="s">
        <v>377</v>
      </c>
      <c r="AM223" t="s">
        <v>347</v>
      </c>
      <c r="AN223" t="s">
        <v>410</v>
      </c>
      <c r="AO223" t="s">
        <v>367</v>
      </c>
      <c r="AP223" t="s">
        <v>411</v>
      </c>
      <c r="AQ223" t="s">
        <v>368</v>
      </c>
      <c r="AR223" t="s">
        <v>369</v>
      </c>
      <c r="AS223">
        <v>20</v>
      </c>
      <c r="AT223" t="s">
        <v>349</v>
      </c>
      <c r="AU223" t="s">
        <v>367</v>
      </c>
      <c r="AV223" t="s">
        <v>367</v>
      </c>
      <c r="AW223" t="s">
        <v>367</v>
      </c>
      <c r="AX223" t="s">
        <v>367</v>
      </c>
      <c r="AY223" t="s">
        <v>367</v>
      </c>
      <c r="AZ223" t="s">
        <v>367</v>
      </c>
      <c r="BA223" t="s">
        <v>367</v>
      </c>
      <c r="BB223" t="s">
        <v>367</v>
      </c>
      <c r="BC223">
        <v>5.5</v>
      </c>
    </row>
    <row r="224" spans="1:55" ht="15" customHeight="1" x14ac:dyDescent="0.35">
      <c r="A224" t="s">
        <v>995</v>
      </c>
      <c r="B224" t="s">
        <v>1657</v>
      </c>
      <c r="C224" t="s">
        <v>1399</v>
      </c>
      <c r="D224" t="s">
        <v>30</v>
      </c>
      <c r="E224">
        <v>2023</v>
      </c>
      <c r="F224" t="s">
        <v>1400</v>
      </c>
      <c r="G224" t="s">
        <v>335</v>
      </c>
      <c r="H224" t="s">
        <v>352</v>
      </c>
      <c r="I224" t="s">
        <v>335</v>
      </c>
      <c r="J224" t="s">
        <v>339</v>
      </c>
      <c r="K224" t="s">
        <v>335</v>
      </c>
      <c r="L224" t="s">
        <v>352</v>
      </c>
      <c r="M224" t="s">
        <v>352</v>
      </c>
      <c r="N224" t="s">
        <v>352</v>
      </c>
      <c r="P224" t="s">
        <v>718</v>
      </c>
      <c r="Q224" t="s">
        <v>719</v>
      </c>
      <c r="R224" t="s">
        <v>810</v>
      </c>
      <c r="S224" t="s">
        <v>802</v>
      </c>
      <c r="T224" t="s">
        <v>1235</v>
      </c>
      <c r="U224" t="s">
        <v>506</v>
      </c>
      <c r="V224">
        <v>38.514825999999999</v>
      </c>
      <c r="W224">
        <v>-122.10423299999999</v>
      </c>
      <c r="X224">
        <v>60</v>
      </c>
      <c r="Y224" t="s">
        <v>1499</v>
      </c>
      <c r="AA224" t="s">
        <v>1236</v>
      </c>
      <c r="AB224" t="s">
        <v>514</v>
      </c>
      <c r="AC224" t="s">
        <v>366</v>
      </c>
      <c r="AD224" t="s">
        <v>1500</v>
      </c>
      <c r="AE224" t="s">
        <v>364</v>
      </c>
      <c r="AF224">
        <v>-0.26300000000000001</v>
      </c>
      <c r="AG224">
        <v>6.7900000000000002E-2</v>
      </c>
      <c r="AH224" t="s">
        <v>346</v>
      </c>
      <c r="AI224" t="s">
        <v>346</v>
      </c>
      <c r="AJ224" t="s">
        <v>592</v>
      </c>
      <c r="AK224">
        <v>578</v>
      </c>
      <c r="AL224" t="s">
        <v>377</v>
      </c>
      <c r="AM224" t="s">
        <v>347</v>
      </c>
      <c r="AN224" t="s">
        <v>410</v>
      </c>
      <c r="AO224" t="s">
        <v>367</v>
      </c>
      <c r="AP224" t="s">
        <v>411</v>
      </c>
      <c r="AQ224" t="s">
        <v>368</v>
      </c>
      <c r="AR224" t="s">
        <v>369</v>
      </c>
      <c r="AS224">
        <v>28</v>
      </c>
      <c r="AT224" t="s">
        <v>349</v>
      </c>
      <c r="AU224" t="s">
        <v>349</v>
      </c>
      <c r="AV224" t="s">
        <v>349</v>
      </c>
      <c r="AW224" t="s">
        <v>367</v>
      </c>
      <c r="AX224" t="s">
        <v>367</v>
      </c>
      <c r="AY224" t="s">
        <v>367</v>
      </c>
      <c r="AZ224" t="s">
        <v>367</v>
      </c>
      <c r="BA224" t="s">
        <v>367</v>
      </c>
      <c r="BB224" t="s">
        <v>367</v>
      </c>
      <c r="BC224">
        <v>5</v>
      </c>
    </row>
    <row r="225" spans="1:55" ht="15" customHeight="1" x14ac:dyDescent="0.35">
      <c r="A225" t="s">
        <v>995</v>
      </c>
      <c r="B225" t="s">
        <v>1657</v>
      </c>
      <c r="C225" t="s">
        <v>1399</v>
      </c>
      <c r="D225" t="s">
        <v>30</v>
      </c>
      <c r="E225">
        <v>2023</v>
      </c>
      <c r="F225" t="s">
        <v>1400</v>
      </c>
      <c r="G225" t="s">
        <v>335</v>
      </c>
      <c r="H225" t="s">
        <v>352</v>
      </c>
      <c r="I225" t="s">
        <v>335</v>
      </c>
      <c r="J225" t="s">
        <v>339</v>
      </c>
      <c r="K225" t="s">
        <v>335</v>
      </c>
      <c r="L225" t="s">
        <v>352</v>
      </c>
      <c r="M225" t="s">
        <v>352</v>
      </c>
      <c r="N225" t="s">
        <v>352</v>
      </c>
      <c r="P225" t="s">
        <v>795</v>
      </c>
      <c r="Q225" t="s">
        <v>811</v>
      </c>
      <c r="R225" t="s">
        <v>812</v>
      </c>
      <c r="S225" t="s">
        <v>803</v>
      </c>
      <c r="T225" t="s">
        <v>1235</v>
      </c>
      <c r="U225" t="s">
        <v>506</v>
      </c>
      <c r="V225">
        <v>38.514825999999999</v>
      </c>
      <c r="W225">
        <v>-122.10423299999999</v>
      </c>
      <c r="X225">
        <v>60</v>
      </c>
      <c r="Y225" t="s">
        <v>1499</v>
      </c>
      <c r="AA225" t="s">
        <v>1236</v>
      </c>
      <c r="AB225" t="s">
        <v>514</v>
      </c>
      <c r="AC225" t="s">
        <v>366</v>
      </c>
      <c r="AD225" t="s">
        <v>1500</v>
      </c>
      <c r="AE225" t="s">
        <v>345</v>
      </c>
      <c r="AF225">
        <v>0.75149999999999995</v>
      </c>
      <c r="AG225">
        <v>0.22550000000000001</v>
      </c>
      <c r="AH225" t="s">
        <v>346</v>
      </c>
      <c r="AI225" t="s">
        <v>346</v>
      </c>
      <c r="AJ225" t="s">
        <v>592</v>
      </c>
      <c r="AK225">
        <v>216</v>
      </c>
      <c r="AL225" t="s">
        <v>377</v>
      </c>
      <c r="AM225" t="s">
        <v>347</v>
      </c>
      <c r="AN225" t="s">
        <v>410</v>
      </c>
      <c r="AO225" t="s">
        <v>367</v>
      </c>
      <c r="AP225" t="s">
        <v>411</v>
      </c>
      <c r="AQ225" t="s">
        <v>368</v>
      </c>
      <c r="AR225" t="s">
        <v>369</v>
      </c>
      <c r="AS225">
        <v>28</v>
      </c>
      <c r="AT225" t="s">
        <v>349</v>
      </c>
      <c r="AU225" t="s">
        <v>367</v>
      </c>
      <c r="AV225" t="s">
        <v>349</v>
      </c>
      <c r="AW225" t="s">
        <v>349</v>
      </c>
      <c r="AX225" t="s">
        <v>367</v>
      </c>
      <c r="AY225" t="s">
        <v>367</v>
      </c>
      <c r="AZ225" t="s">
        <v>349</v>
      </c>
      <c r="BA225" t="s">
        <v>367</v>
      </c>
      <c r="BB225" t="s">
        <v>367</v>
      </c>
      <c r="BC225">
        <v>4</v>
      </c>
    </row>
    <row r="226" spans="1:55" ht="15" customHeight="1" x14ac:dyDescent="0.35">
      <c r="A226" t="s">
        <v>995</v>
      </c>
      <c r="B226" t="s">
        <v>1657</v>
      </c>
      <c r="C226" t="s">
        <v>1399</v>
      </c>
      <c r="D226" t="s">
        <v>30</v>
      </c>
      <c r="E226">
        <v>2023</v>
      </c>
      <c r="F226" t="s">
        <v>1400</v>
      </c>
      <c r="G226" t="s">
        <v>335</v>
      </c>
      <c r="H226" t="s">
        <v>352</v>
      </c>
      <c r="I226" t="s">
        <v>335</v>
      </c>
      <c r="J226" t="s">
        <v>339</v>
      </c>
      <c r="K226" t="s">
        <v>335</v>
      </c>
      <c r="L226" t="s">
        <v>352</v>
      </c>
      <c r="M226" t="s">
        <v>352</v>
      </c>
      <c r="N226" t="s">
        <v>352</v>
      </c>
      <c r="P226" t="s">
        <v>795</v>
      </c>
      <c r="Q226" t="s">
        <v>811</v>
      </c>
      <c r="R226" t="s">
        <v>812</v>
      </c>
      <c r="S226" t="s">
        <v>803</v>
      </c>
      <c r="T226" t="s">
        <v>1235</v>
      </c>
      <c r="U226" t="s">
        <v>506</v>
      </c>
      <c r="V226">
        <v>38.514825999999999</v>
      </c>
      <c r="W226">
        <v>-122.10423299999999</v>
      </c>
      <c r="X226">
        <v>60</v>
      </c>
      <c r="Y226" t="s">
        <v>1499</v>
      </c>
      <c r="AA226" t="s">
        <v>1236</v>
      </c>
      <c r="AB226" t="s">
        <v>514</v>
      </c>
      <c r="AC226" t="s">
        <v>1241</v>
      </c>
      <c r="AD226" t="s">
        <v>1504</v>
      </c>
      <c r="AE226" t="s">
        <v>354</v>
      </c>
      <c r="AF226" t="s">
        <v>346</v>
      </c>
      <c r="AG226" t="s">
        <v>346</v>
      </c>
      <c r="AH226" t="s">
        <v>346</v>
      </c>
      <c r="AI226" t="s">
        <v>346</v>
      </c>
      <c r="AJ226" t="s">
        <v>592</v>
      </c>
      <c r="AK226">
        <v>216</v>
      </c>
      <c r="AL226" t="s">
        <v>377</v>
      </c>
      <c r="AM226" t="s">
        <v>347</v>
      </c>
      <c r="AN226" t="s">
        <v>410</v>
      </c>
      <c r="AO226" t="s">
        <v>367</v>
      </c>
      <c r="AP226" t="s">
        <v>411</v>
      </c>
      <c r="AQ226" t="s">
        <v>368</v>
      </c>
      <c r="AR226" t="s">
        <v>369</v>
      </c>
      <c r="AS226">
        <v>28</v>
      </c>
      <c r="AT226" t="s">
        <v>349</v>
      </c>
      <c r="AU226" t="s">
        <v>367</v>
      </c>
      <c r="AV226" t="s">
        <v>349</v>
      </c>
      <c r="AW226" t="s">
        <v>349</v>
      </c>
      <c r="AX226" t="s">
        <v>367</v>
      </c>
      <c r="AY226" t="s">
        <v>367</v>
      </c>
      <c r="AZ226" t="s">
        <v>349</v>
      </c>
      <c r="BA226" t="s">
        <v>367</v>
      </c>
      <c r="BB226" t="s">
        <v>367</v>
      </c>
      <c r="BC226">
        <v>4</v>
      </c>
    </row>
    <row r="227" spans="1:55" ht="15" customHeight="1" x14ac:dyDescent="0.35">
      <c r="A227" t="s">
        <v>995</v>
      </c>
      <c r="B227" t="s">
        <v>1657</v>
      </c>
      <c r="C227" t="s">
        <v>1399</v>
      </c>
      <c r="D227" t="s">
        <v>30</v>
      </c>
      <c r="E227">
        <v>2023</v>
      </c>
      <c r="F227" t="s">
        <v>1400</v>
      </c>
      <c r="G227" t="s">
        <v>335</v>
      </c>
      <c r="H227" t="s">
        <v>352</v>
      </c>
      <c r="I227" t="s">
        <v>335</v>
      </c>
      <c r="J227" t="s">
        <v>339</v>
      </c>
      <c r="K227" t="s">
        <v>335</v>
      </c>
      <c r="L227" t="s">
        <v>352</v>
      </c>
      <c r="M227" t="s">
        <v>352</v>
      </c>
      <c r="N227" t="s">
        <v>352</v>
      </c>
      <c r="P227" t="s">
        <v>418</v>
      </c>
      <c r="Q227" t="s">
        <v>1502</v>
      </c>
      <c r="R227" t="s">
        <v>1503</v>
      </c>
      <c r="S227" t="s">
        <v>1501</v>
      </c>
      <c r="T227" t="s">
        <v>1235</v>
      </c>
      <c r="U227" t="s">
        <v>506</v>
      </c>
      <c r="V227">
        <v>38.514825999999999</v>
      </c>
      <c r="W227">
        <v>-122.10423299999999</v>
      </c>
      <c r="X227">
        <v>60</v>
      </c>
      <c r="Y227" t="s">
        <v>1499</v>
      </c>
      <c r="AA227" t="s">
        <v>1236</v>
      </c>
      <c r="AB227" t="s">
        <v>514</v>
      </c>
      <c r="AC227" t="s">
        <v>1241</v>
      </c>
      <c r="AD227" t="s">
        <v>1504</v>
      </c>
      <c r="AE227" t="s">
        <v>354</v>
      </c>
      <c r="AF227" t="s">
        <v>346</v>
      </c>
      <c r="AG227" t="s">
        <v>346</v>
      </c>
      <c r="AH227" t="s">
        <v>346</v>
      </c>
      <c r="AI227" t="s">
        <v>346</v>
      </c>
      <c r="AJ227" t="s">
        <v>592</v>
      </c>
      <c r="AK227">
        <v>367</v>
      </c>
      <c r="AL227" t="s">
        <v>377</v>
      </c>
      <c r="AM227" t="s">
        <v>347</v>
      </c>
      <c r="AN227" t="s">
        <v>410</v>
      </c>
      <c r="AO227" t="s">
        <v>367</v>
      </c>
      <c r="AP227" t="s">
        <v>411</v>
      </c>
      <c r="AQ227" t="s">
        <v>368</v>
      </c>
      <c r="AR227" t="s">
        <v>369</v>
      </c>
      <c r="AS227">
        <v>11</v>
      </c>
      <c r="AT227" t="s">
        <v>349</v>
      </c>
      <c r="AU227" t="s">
        <v>367</v>
      </c>
      <c r="AV227" t="s">
        <v>367</v>
      </c>
      <c r="AW227" t="s">
        <v>367</v>
      </c>
      <c r="AX227" t="s">
        <v>367</v>
      </c>
      <c r="AY227" t="s">
        <v>367</v>
      </c>
      <c r="AZ227" t="s">
        <v>367</v>
      </c>
      <c r="BA227" t="s">
        <v>367</v>
      </c>
      <c r="BB227" t="s">
        <v>367</v>
      </c>
      <c r="BC227">
        <v>6</v>
      </c>
    </row>
    <row r="228" spans="1:55" ht="15" customHeight="1" x14ac:dyDescent="0.35">
      <c r="A228" t="s">
        <v>995</v>
      </c>
      <c r="B228" t="s">
        <v>1657</v>
      </c>
      <c r="C228" t="s">
        <v>1399</v>
      </c>
      <c r="D228" t="s">
        <v>30</v>
      </c>
      <c r="E228">
        <v>2023</v>
      </c>
      <c r="F228" t="s">
        <v>1400</v>
      </c>
      <c r="G228" t="s">
        <v>335</v>
      </c>
      <c r="H228" t="s">
        <v>352</v>
      </c>
      <c r="I228" t="s">
        <v>335</v>
      </c>
      <c r="J228" t="s">
        <v>339</v>
      </c>
      <c r="K228" t="s">
        <v>335</v>
      </c>
      <c r="L228" t="s">
        <v>352</v>
      </c>
      <c r="M228" t="s">
        <v>352</v>
      </c>
      <c r="N228" t="s">
        <v>352</v>
      </c>
      <c r="P228" t="s">
        <v>461</v>
      </c>
      <c r="Q228" t="s">
        <v>508</v>
      </c>
      <c r="R228" t="s">
        <v>509</v>
      </c>
      <c r="S228" t="s">
        <v>507</v>
      </c>
      <c r="T228" t="s">
        <v>1235</v>
      </c>
      <c r="U228" t="s">
        <v>506</v>
      </c>
      <c r="V228">
        <v>38.514825999999999</v>
      </c>
      <c r="W228">
        <v>-122.10423299999999</v>
      </c>
      <c r="X228">
        <v>60</v>
      </c>
      <c r="Y228" t="s">
        <v>1499</v>
      </c>
      <c r="AA228" t="s">
        <v>1236</v>
      </c>
      <c r="AB228" t="s">
        <v>514</v>
      </c>
      <c r="AC228" t="s">
        <v>1241</v>
      </c>
      <c r="AD228" t="s">
        <v>1504</v>
      </c>
      <c r="AE228" t="s">
        <v>354</v>
      </c>
      <c r="AF228" t="s">
        <v>346</v>
      </c>
      <c r="AG228" t="s">
        <v>346</v>
      </c>
      <c r="AH228" t="s">
        <v>346</v>
      </c>
      <c r="AI228" t="s">
        <v>346</v>
      </c>
      <c r="AJ228" t="s">
        <v>592</v>
      </c>
      <c r="AK228">
        <v>1140</v>
      </c>
      <c r="AL228" t="s">
        <v>377</v>
      </c>
      <c r="AM228" t="s">
        <v>347</v>
      </c>
      <c r="AN228" t="s">
        <v>410</v>
      </c>
      <c r="AO228" t="s">
        <v>367</v>
      </c>
      <c r="AP228" t="s">
        <v>411</v>
      </c>
      <c r="AQ228" t="s">
        <v>368</v>
      </c>
      <c r="AR228" t="s">
        <v>369</v>
      </c>
      <c r="AS228">
        <v>20</v>
      </c>
      <c r="AT228" t="s">
        <v>349</v>
      </c>
      <c r="AU228" t="s">
        <v>367</v>
      </c>
      <c r="AV228" t="s">
        <v>367</v>
      </c>
      <c r="AW228" t="s">
        <v>367</v>
      </c>
      <c r="AX228" t="s">
        <v>367</v>
      </c>
      <c r="AY228" t="s">
        <v>367</v>
      </c>
      <c r="AZ228" t="s">
        <v>367</v>
      </c>
      <c r="BA228" t="s">
        <v>367</v>
      </c>
      <c r="BB228" t="s">
        <v>367</v>
      </c>
      <c r="BC228">
        <v>5.5</v>
      </c>
    </row>
    <row r="229" spans="1:55" ht="15" customHeight="1" x14ac:dyDescent="0.35">
      <c r="A229" t="s">
        <v>995</v>
      </c>
      <c r="B229" t="s">
        <v>1657</v>
      </c>
      <c r="C229" t="s">
        <v>1399</v>
      </c>
      <c r="D229" t="s">
        <v>30</v>
      </c>
      <c r="E229">
        <v>2023</v>
      </c>
      <c r="F229" t="s">
        <v>1400</v>
      </c>
      <c r="G229" t="s">
        <v>335</v>
      </c>
      <c r="H229" t="s">
        <v>352</v>
      </c>
      <c r="I229" t="s">
        <v>335</v>
      </c>
      <c r="J229" t="s">
        <v>339</v>
      </c>
      <c r="K229" t="s">
        <v>335</v>
      </c>
      <c r="L229" t="s">
        <v>352</v>
      </c>
      <c r="M229" t="s">
        <v>352</v>
      </c>
      <c r="N229" t="s">
        <v>352</v>
      </c>
      <c r="P229" t="s">
        <v>718</v>
      </c>
      <c r="Q229" t="s">
        <v>719</v>
      </c>
      <c r="R229" t="s">
        <v>810</v>
      </c>
      <c r="S229" t="s">
        <v>802</v>
      </c>
      <c r="T229" t="s">
        <v>1235</v>
      </c>
      <c r="U229" t="s">
        <v>506</v>
      </c>
      <c r="V229">
        <v>38.514825999999999</v>
      </c>
      <c r="W229">
        <v>-122.10423299999999</v>
      </c>
      <c r="X229">
        <v>60</v>
      </c>
      <c r="Y229" t="s">
        <v>1499</v>
      </c>
      <c r="AA229" t="s">
        <v>1236</v>
      </c>
      <c r="AB229" t="s">
        <v>514</v>
      </c>
      <c r="AC229" t="s">
        <v>1241</v>
      </c>
      <c r="AD229" t="s">
        <v>1504</v>
      </c>
      <c r="AE229" t="s">
        <v>354</v>
      </c>
      <c r="AF229" t="s">
        <v>346</v>
      </c>
      <c r="AG229" t="s">
        <v>346</v>
      </c>
      <c r="AH229" t="s">
        <v>346</v>
      </c>
      <c r="AI229" t="s">
        <v>346</v>
      </c>
      <c r="AJ229" t="s">
        <v>592</v>
      </c>
      <c r="AK229">
        <v>578</v>
      </c>
      <c r="AL229" t="s">
        <v>377</v>
      </c>
      <c r="AM229" t="s">
        <v>347</v>
      </c>
      <c r="AN229" t="s">
        <v>410</v>
      </c>
      <c r="AO229" t="s">
        <v>367</v>
      </c>
      <c r="AP229" t="s">
        <v>411</v>
      </c>
      <c r="AQ229" t="s">
        <v>368</v>
      </c>
      <c r="AR229" t="s">
        <v>369</v>
      </c>
      <c r="AS229">
        <v>28</v>
      </c>
      <c r="AT229" t="s">
        <v>349</v>
      </c>
      <c r="AU229" t="s">
        <v>349</v>
      </c>
      <c r="AV229" t="s">
        <v>349</v>
      </c>
      <c r="AW229" t="s">
        <v>367</v>
      </c>
      <c r="AX229" t="s">
        <v>367</v>
      </c>
      <c r="AY229" t="s">
        <v>367</v>
      </c>
      <c r="AZ229" t="s">
        <v>367</v>
      </c>
      <c r="BA229" t="s">
        <v>367</v>
      </c>
      <c r="BB229" t="s">
        <v>367</v>
      </c>
      <c r="BC229">
        <v>5</v>
      </c>
    </row>
    <row r="230" spans="1:55" s="8" customFormat="1" ht="15" customHeight="1" x14ac:dyDescent="0.35">
      <c r="A230" t="s">
        <v>995</v>
      </c>
      <c r="B230" t="s">
        <v>1658</v>
      </c>
      <c r="C230" t="s">
        <v>275</v>
      </c>
      <c r="D230" t="s">
        <v>108</v>
      </c>
      <c r="E230">
        <v>1998</v>
      </c>
      <c r="F230" t="s">
        <v>276</v>
      </c>
      <c r="G230" t="s">
        <v>335</v>
      </c>
      <c r="H230" t="s">
        <v>335</v>
      </c>
      <c r="I230" t="s">
        <v>335</v>
      </c>
      <c r="J230" t="s">
        <v>339</v>
      </c>
      <c r="K230" t="s">
        <v>335</v>
      </c>
      <c r="L230" t="s">
        <v>335</v>
      </c>
      <c r="M230" t="s">
        <v>352</v>
      </c>
      <c r="N230" t="s">
        <v>352</v>
      </c>
      <c r="O230"/>
      <c r="P230" t="s">
        <v>480</v>
      </c>
      <c r="Q230" t="s">
        <v>714</v>
      </c>
      <c r="R230" t="s">
        <v>715</v>
      </c>
      <c r="S230" t="s">
        <v>711</v>
      </c>
      <c r="T230" t="s">
        <v>1235</v>
      </c>
      <c r="U230" t="s">
        <v>1239</v>
      </c>
      <c r="V230">
        <v>42.531852000000001</v>
      </c>
      <c r="W230">
        <v>-75.852946000000003</v>
      </c>
      <c r="X230">
        <v>470</v>
      </c>
      <c r="Y230" t="s">
        <v>900</v>
      </c>
      <c r="Z230" t="s">
        <v>1342</v>
      </c>
      <c r="AA230" t="s">
        <v>1247</v>
      </c>
      <c r="AB230" t="s">
        <v>400</v>
      </c>
      <c r="AC230" t="s">
        <v>366</v>
      </c>
      <c r="AD230" t="s">
        <v>433</v>
      </c>
      <c r="AE230" t="s">
        <v>364</v>
      </c>
      <c r="AF230">
        <v>-0.1779</v>
      </c>
      <c r="AG230">
        <v>9.8000000000000004E-2</v>
      </c>
      <c r="AH230" t="s">
        <v>346</v>
      </c>
      <c r="AI230" t="s">
        <v>346</v>
      </c>
      <c r="AJ230" t="s">
        <v>592</v>
      </c>
      <c r="AK230">
        <v>206</v>
      </c>
      <c r="AL230" t="s">
        <v>377</v>
      </c>
      <c r="AM230" t="s">
        <v>347</v>
      </c>
      <c r="AN230" t="s">
        <v>348</v>
      </c>
      <c r="AO230" t="s">
        <v>349</v>
      </c>
      <c r="AP230" t="s">
        <v>355</v>
      </c>
      <c r="AQ230" t="s">
        <v>351</v>
      </c>
      <c r="AR230" t="s">
        <v>356</v>
      </c>
      <c r="AS230">
        <v>6800</v>
      </c>
      <c r="AT230" t="s">
        <v>349</v>
      </c>
      <c r="AU230" t="s">
        <v>349</v>
      </c>
      <c r="AV230" t="s">
        <v>367</v>
      </c>
      <c r="AW230" t="s">
        <v>367</v>
      </c>
      <c r="AX230" t="s">
        <v>367</v>
      </c>
      <c r="AY230" t="s">
        <v>367</v>
      </c>
      <c r="AZ230" t="s">
        <v>367</v>
      </c>
      <c r="BA230" t="s">
        <v>367</v>
      </c>
      <c r="BB230" t="s">
        <v>367</v>
      </c>
      <c r="BC230">
        <v>11</v>
      </c>
    </row>
    <row r="231" spans="1:55" ht="15" customHeight="1" x14ac:dyDescent="0.35">
      <c r="A231" t="s">
        <v>995</v>
      </c>
      <c r="B231" t="s">
        <v>1658</v>
      </c>
      <c r="C231" t="s">
        <v>275</v>
      </c>
      <c r="D231" t="s">
        <v>108</v>
      </c>
      <c r="E231" t="s">
        <v>274</v>
      </c>
      <c r="F231" t="s">
        <v>276</v>
      </c>
      <c r="G231" t="s">
        <v>335</v>
      </c>
      <c r="H231" t="s">
        <v>335</v>
      </c>
      <c r="I231" t="s">
        <v>335</v>
      </c>
      <c r="J231" t="s">
        <v>339</v>
      </c>
      <c r="K231" t="s">
        <v>335</v>
      </c>
      <c r="L231" t="s">
        <v>335</v>
      </c>
      <c r="M231" t="s">
        <v>352</v>
      </c>
      <c r="N231" t="s">
        <v>352</v>
      </c>
      <c r="P231" t="s">
        <v>480</v>
      </c>
      <c r="Q231" t="s">
        <v>714</v>
      </c>
      <c r="R231" t="s">
        <v>715</v>
      </c>
      <c r="S231" t="s">
        <v>711</v>
      </c>
      <c r="T231" t="s">
        <v>1235</v>
      </c>
      <c r="U231" t="s">
        <v>1239</v>
      </c>
      <c r="V231">
        <v>42.531852000000001</v>
      </c>
      <c r="W231">
        <v>-75.852946000000003</v>
      </c>
      <c r="X231">
        <v>470</v>
      </c>
      <c r="Y231" t="s">
        <v>900</v>
      </c>
      <c r="AA231" t="s">
        <v>1247</v>
      </c>
      <c r="AB231" t="s">
        <v>400</v>
      </c>
      <c r="AC231" t="s">
        <v>1237</v>
      </c>
      <c r="AD231" t="s">
        <v>1343</v>
      </c>
      <c r="AE231" t="s">
        <v>364</v>
      </c>
      <c r="AF231">
        <v>-7.4099999999999999E-2</v>
      </c>
      <c r="AG231">
        <v>2.5000000000000001E-2</v>
      </c>
      <c r="AH231" t="s">
        <v>346</v>
      </c>
      <c r="AI231" t="s">
        <v>346</v>
      </c>
      <c r="AJ231" t="s">
        <v>592</v>
      </c>
      <c r="AK231">
        <v>207</v>
      </c>
      <c r="AL231" t="s">
        <v>377</v>
      </c>
      <c r="AM231" t="s">
        <v>347</v>
      </c>
      <c r="AN231" t="s">
        <v>348</v>
      </c>
      <c r="AO231" t="s">
        <v>349</v>
      </c>
      <c r="AP231" t="s">
        <v>355</v>
      </c>
      <c r="AQ231" t="s">
        <v>351</v>
      </c>
      <c r="AR231" t="s">
        <v>356</v>
      </c>
      <c r="AS231">
        <v>6800</v>
      </c>
      <c r="AT231" t="s">
        <v>349</v>
      </c>
      <c r="AU231" t="s">
        <v>349</v>
      </c>
      <c r="AV231" t="s">
        <v>367</v>
      </c>
      <c r="AW231" t="s">
        <v>367</v>
      </c>
      <c r="AX231" t="s">
        <v>367</v>
      </c>
      <c r="AY231" t="s">
        <v>367</v>
      </c>
      <c r="AZ231" t="s">
        <v>367</v>
      </c>
      <c r="BA231" t="s">
        <v>367</v>
      </c>
      <c r="BB231" t="s">
        <v>367</v>
      </c>
      <c r="BC231">
        <v>11</v>
      </c>
    </row>
    <row r="232" spans="1:55" ht="15" customHeight="1" x14ac:dyDescent="0.35">
      <c r="A232" t="s">
        <v>995</v>
      </c>
      <c r="B232" t="s">
        <v>1659</v>
      </c>
      <c r="C232" t="s">
        <v>277</v>
      </c>
      <c r="D232" t="s">
        <v>114</v>
      </c>
      <c r="E232">
        <v>2013</v>
      </c>
      <c r="F232" t="s">
        <v>278</v>
      </c>
      <c r="G232" t="s">
        <v>335</v>
      </c>
      <c r="H232" t="s">
        <v>335</v>
      </c>
      <c r="I232" t="s">
        <v>335</v>
      </c>
      <c r="J232" t="s">
        <v>339</v>
      </c>
      <c r="K232" t="s">
        <v>335</v>
      </c>
      <c r="L232" t="s">
        <v>335</v>
      </c>
      <c r="M232" t="s">
        <v>352</v>
      </c>
      <c r="N232" t="s">
        <v>352</v>
      </c>
      <c r="P232" t="s">
        <v>541</v>
      </c>
      <c r="Q232" t="s">
        <v>902</v>
      </c>
      <c r="R232" t="s">
        <v>903</v>
      </c>
      <c r="S232" t="s">
        <v>901</v>
      </c>
      <c r="T232" t="s">
        <v>348</v>
      </c>
      <c r="U232" t="s">
        <v>905</v>
      </c>
      <c r="V232">
        <v>37.200000000000003</v>
      </c>
      <c r="W232">
        <v>-3.04</v>
      </c>
      <c r="X232">
        <v>1100</v>
      </c>
      <c r="Y232" t="s">
        <v>904</v>
      </c>
      <c r="AA232" t="s">
        <v>393</v>
      </c>
      <c r="AB232" t="s">
        <v>393</v>
      </c>
      <c r="AC232" t="s">
        <v>366</v>
      </c>
      <c r="AD232" t="s">
        <v>1041</v>
      </c>
      <c r="AE232" t="s">
        <v>354</v>
      </c>
      <c r="AF232">
        <v>-0.01</v>
      </c>
      <c r="AG232">
        <v>0.01</v>
      </c>
      <c r="AH232" t="s">
        <v>346</v>
      </c>
      <c r="AI232" t="s">
        <v>346</v>
      </c>
      <c r="AJ232" t="s">
        <v>592</v>
      </c>
      <c r="AK232">
        <v>76</v>
      </c>
      <c r="AL232" t="s">
        <v>377</v>
      </c>
      <c r="AM232" t="s">
        <v>339</v>
      </c>
      <c r="AN232" t="s">
        <v>348</v>
      </c>
      <c r="AO232" t="s">
        <v>367</v>
      </c>
      <c r="AP232" t="s">
        <v>386</v>
      </c>
      <c r="AQ232" t="s">
        <v>368</v>
      </c>
      <c r="AR232" t="s">
        <v>545</v>
      </c>
      <c r="AS232">
        <v>499</v>
      </c>
      <c r="AT232" t="s">
        <v>349</v>
      </c>
      <c r="AU232" t="s">
        <v>349</v>
      </c>
      <c r="AV232" t="s">
        <v>367</v>
      </c>
      <c r="AW232" t="s">
        <v>349</v>
      </c>
      <c r="AX232" t="s">
        <v>367</v>
      </c>
      <c r="AY232" t="s">
        <v>349</v>
      </c>
      <c r="AZ232" t="s">
        <v>367</v>
      </c>
      <c r="BA232" t="s">
        <v>349</v>
      </c>
      <c r="BB232" t="s">
        <v>349</v>
      </c>
      <c r="BC232">
        <v>4</v>
      </c>
    </row>
    <row r="233" spans="1:55" ht="15" customHeight="1" x14ac:dyDescent="0.35">
      <c r="A233" t="s">
        <v>995</v>
      </c>
      <c r="B233" t="s">
        <v>1659</v>
      </c>
      <c r="C233" t="s">
        <v>277</v>
      </c>
      <c r="D233" t="s">
        <v>114</v>
      </c>
      <c r="E233">
        <v>2013</v>
      </c>
      <c r="F233" t="s">
        <v>278</v>
      </c>
      <c r="G233" t="s">
        <v>335</v>
      </c>
      <c r="H233" t="s">
        <v>335</v>
      </c>
      <c r="I233" t="s">
        <v>335</v>
      </c>
      <c r="J233" t="s">
        <v>339</v>
      </c>
      <c r="K233" t="s">
        <v>335</v>
      </c>
      <c r="L233" t="s">
        <v>335</v>
      </c>
      <c r="M233" t="s">
        <v>352</v>
      </c>
      <c r="N233" t="s">
        <v>352</v>
      </c>
      <c r="P233" t="s">
        <v>541</v>
      </c>
      <c r="Q233" t="s">
        <v>902</v>
      </c>
      <c r="R233" t="s">
        <v>903</v>
      </c>
      <c r="S233" t="s">
        <v>901</v>
      </c>
      <c r="T233" t="s">
        <v>348</v>
      </c>
      <c r="U233" t="s">
        <v>905</v>
      </c>
      <c r="V233">
        <v>37.200000000000003</v>
      </c>
      <c r="W233">
        <v>-3.04</v>
      </c>
      <c r="X233">
        <v>1100</v>
      </c>
      <c r="Y233" t="s">
        <v>904</v>
      </c>
      <c r="AA233" t="s">
        <v>1236</v>
      </c>
      <c r="AB233" t="s">
        <v>512</v>
      </c>
      <c r="AC233" t="s">
        <v>1237</v>
      </c>
      <c r="AD233" t="s">
        <v>1173</v>
      </c>
      <c r="AE233" t="s">
        <v>354</v>
      </c>
      <c r="AF233">
        <v>0</v>
      </c>
      <c r="AG233">
        <v>0.01</v>
      </c>
      <c r="AH233" t="s">
        <v>346</v>
      </c>
      <c r="AI233" t="s">
        <v>346</v>
      </c>
      <c r="AJ233" t="s">
        <v>592</v>
      </c>
      <c r="AK233">
        <v>98</v>
      </c>
      <c r="AL233" t="s">
        <v>377</v>
      </c>
      <c r="AM233" t="s">
        <v>339</v>
      </c>
      <c r="AN233" t="s">
        <v>348</v>
      </c>
      <c r="AO233" t="s">
        <v>367</v>
      </c>
      <c r="AP233" t="s">
        <v>386</v>
      </c>
      <c r="AQ233" t="s">
        <v>368</v>
      </c>
      <c r="AR233" t="s">
        <v>545</v>
      </c>
      <c r="AS233">
        <v>499</v>
      </c>
      <c r="AT233" t="s">
        <v>349</v>
      </c>
      <c r="AU233" t="s">
        <v>349</v>
      </c>
      <c r="AV233" t="s">
        <v>367</v>
      </c>
      <c r="AW233" t="s">
        <v>349</v>
      </c>
      <c r="AX233" t="s">
        <v>367</v>
      </c>
      <c r="AY233" t="s">
        <v>349</v>
      </c>
      <c r="AZ233" t="s">
        <v>367</v>
      </c>
      <c r="BA233" t="s">
        <v>349</v>
      </c>
      <c r="BB233" t="s">
        <v>349</v>
      </c>
      <c r="BC233">
        <v>4</v>
      </c>
    </row>
    <row r="234" spans="1:55" ht="15" customHeight="1" x14ac:dyDescent="0.35">
      <c r="A234" t="s">
        <v>995</v>
      </c>
      <c r="B234" t="s">
        <v>1660</v>
      </c>
      <c r="C234" t="s">
        <v>279</v>
      </c>
      <c r="D234" t="s">
        <v>137</v>
      </c>
      <c r="E234">
        <v>2022</v>
      </c>
      <c r="F234" t="s">
        <v>280</v>
      </c>
      <c r="G234" t="s">
        <v>335</v>
      </c>
      <c r="H234" t="s">
        <v>335</v>
      </c>
      <c r="I234" t="s">
        <v>335</v>
      </c>
      <c r="J234" t="s">
        <v>339</v>
      </c>
      <c r="K234" t="s">
        <v>335</v>
      </c>
      <c r="L234" t="s">
        <v>335</v>
      </c>
      <c r="M234" t="s">
        <v>352</v>
      </c>
      <c r="N234" t="s">
        <v>335</v>
      </c>
      <c r="P234" t="s">
        <v>826</v>
      </c>
      <c r="Q234" t="s">
        <v>890</v>
      </c>
      <c r="R234" t="s">
        <v>908</v>
      </c>
      <c r="S234" t="s">
        <v>906</v>
      </c>
      <c r="T234" t="s">
        <v>348</v>
      </c>
      <c r="U234" t="s">
        <v>344</v>
      </c>
      <c r="V234">
        <v>27.184176000000001</v>
      </c>
      <c r="W234">
        <v>-81.353815999999995</v>
      </c>
      <c r="X234">
        <v>42</v>
      </c>
      <c r="Y234" t="s">
        <v>907</v>
      </c>
      <c r="AA234" t="s">
        <v>1236</v>
      </c>
      <c r="AB234" t="s">
        <v>384</v>
      </c>
      <c r="AC234" t="s">
        <v>366</v>
      </c>
      <c r="AD234" t="s">
        <v>1344</v>
      </c>
      <c r="AE234" t="s">
        <v>364</v>
      </c>
      <c r="AF234" t="s">
        <v>346</v>
      </c>
      <c r="AG234" t="s">
        <v>346</v>
      </c>
      <c r="AH234" t="s">
        <v>346</v>
      </c>
      <c r="AI234" t="s">
        <v>346</v>
      </c>
      <c r="AJ234" t="s">
        <v>339</v>
      </c>
      <c r="AK234" t="s">
        <v>346</v>
      </c>
      <c r="AL234" t="s">
        <v>346</v>
      </c>
      <c r="AM234" t="s">
        <v>366</v>
      </c>
      <c r="AN234" t="s">
        <v>410</v>
      </c>
      <c r="AO234" t="s">
        <v>349</v>
      </c>
      <c r="AP234" t="s">
        <v>497</v>
      </c>
      <c r="AQ234" t="s">
        <v>368</v>
      </c>
      <c r="AR234" t="s">
        <v>369</v>
      </c>
      <c r="AS234">
        <v>160</v>
      </c>
      <c r="AT234" t="s">
        <v>349</v>
      </c>
      <c r="AU234" t="s">
        <v>367</v>
      </c>
      <c r="AV234" t="s">
        <v>367</v>
      </c>
      <c r="AW234" t="s">
        <v>349</v>
      </c>
      <c r="AX234" t="s">
        <v>367</v>
      </c>
      <c r="AY234" t="s">
        <v>349</v>
      </c>
      <c r="AZ234" t="s">
        <v>349</v>
      </c>
      <c r="BA234" t="s">
        <v>349</v>
      </c>
      <c r="BB234" t="s">
        <v>367</v>
      </c>
      <c r="BC234">
        <v>8</v>
      </c>
    </row>
    <row r="235" spans="1:55" ht="15" customHeight="1" x14ac:dyDescent="0.35">
      <c r="A235" t="s">
        <v>1065</v>
      </c>
      <c r="B235" t="s">
        <v>1661</v>
      </c>
      <c r="C235" t="s">
        <v>1105</v>
      </c>
      <c r="D235" t="s">
        <v>84</v>
      </c>
      <c r="E235">
        <v>1991</v>
      </c>
      <c r="G235" t="s">
        <v>335</v>
      </c>
      <c r="H235" t="s">
        <v>335</v>
      </c>
      <c r="I235" t="s">
        <v>335</v>
      </c>
      <c r="J235" t="s">
        <v>339</v>
      </c>
      <c r="K235" t="s">
        <v>335</v>
      </c>
      <c r="L235" t="s">
        <v>335</v>
      </c>
      <c r="M235" t="s">
        <v>352</v>
      </c>
      <c r="N235" t="s">
        <v>352</v>
      </c>
      <c r="P235" t="s">
        <v>395</v>
      </c>
      <c r="Q235" t="s">
        <v>1168</v>
      </c>
      <c r="R235" t="s">
        <v>1169</v>
      </c>
      <c r="S235" t="s">
        <v>1160</v>
      </c>
      <c r="T235" t="s">
        <v>1235</v>
      </c>
      <c r="U235" t="s">
        <v>1239</v>
      </c>
      <c r="V235">
        <v>42.747413000000002</v>
      </c>
      <c r="W235">
        <v>-120.860946</v>
      </c>
      <c r="X235">
        <v>1360</v>
      </c>
      <c r="Y235" t="s">
        <v>1157</v>
      </c>
      <c r="Z235" t="s">
        <v>1345</v>
      </c>
      <c r="AA235" t="s">
        <v>1236</v>
      </c>
      <c r="AB235" t="s">
        <v>512</v>
      </c>
      <c r="AC235" t="s">
        <v>366</v>
      </c>
      <c r="AD235" t="s">
        <v>1173</v>
      </c>
      <c r="AE235" t="s">
        <v>364</v>
      </c>
      <c r="AF235">
        <v>-0.21</v>
      </c>
      <c r="AG235" t="s">
        <v>346</v>
      </c>
      <c r="AH235" t="s">
        <v>346</v>
      </c>
      <c r="AI235" t="s">
        <v>346</v>
      </c>
      <c r="AJ235" t="s">
        <v>592</v>
      </c>
      <c r="AK235">
        <v>44</v>
      </c>
      <c r="AL235" t="s">
        <v>377</v>
      </c>
      <c r="AM235" t="s">
        <v>347</v>
      </c>
      <c r="AN235" t="s">
        <v>348</v>
      </c>
      <c r="AO235" t="s">
        <v>367</v>
      </c>
      <c r="AP235" t="s">
        <v>386</v>
      </c>
      <c r="AQ235" t="s">
        <v>368</v>
      </c>
      <c r="AR235" t="s">
        <v>369</v>
      </c>
      <c r="AS235">
        <v>11</v>
      </c>
      <c r="AT235" t="s">
        <v>349</v>
      </c>
      <c r="AU235" t="s">
        <v>349</v>
      </c>
      <c r="AV235" t="s">
        <v>367</v>
      </c>
      <c r="AW235" t="s">
        <v>367</v>
      </c>
      <c r="AX235" t="s">
        <v>367</v>
      </c>
      <c r="AY235" t="s">
        <v>367</v>
      </c>
      <c r="AZ235" t="s">
        <v>367</v>
      </c>
      <c r="BA235" t="s">
        <v>367</v>
      </c>
      <c r="BB235" t="s">
        <v>367</v>
      </c>
      <c r="BC235">
        <v>3</v>
      </c>
    </row>
    <row r="236" spans="1:55" ht="15" customHeight="1" x14ac:dyDescent="0.35">
      <c r="A236" t="s">
        <v>1065</v>
      </c>
      <c r="B236" t="s">
        <v>1661</v>
      </c>
      <c r="C236" t="s">
        <v>1105</v>
      </c>
      <c r="D236" t="s">
        <v>84</v>
      </c>
      <c r="E236">
        <v>1991</v>
      </c>
      <c r="G236" t="s">
        <v>335</v>
      </c>
      <c r="H236" t="s">
        <v>335</v>
      </c>
      <c r="I236" t="s">
        <v>335</v>
      </c>
      <c r="J236" t="s">
        <v>339</v>
      </c>
      <c r="K236" t="s">
        <v>335</v>
      </c>
      <c r="L236" t="s">
        <v>335</v>
      </c>
      <c r="M236" t="s">
        <v>352</v>
      </c>
      <c r="N236" t="s">
        <v>352</v>
      </c>
      <c r="P236" t="s">
        <v>395</v>
      </c>
      <c r="Q236" t="s">
        <v>1168</v>
      </c>
      <c r="R236" t="s">
        <v>1169</v>
      </c>
      <c r="S236" t="s">
        <v>1160</v>
      </c>
      <c r="T236" t="s">
        <v>1235</v>
      </c>
      <c r="U236" t="s">
        <v>1239</v>
      </c>
      <c r="V236">
        <v>42.747413000000002</v>
      </c>
      <c r="W236">
        <v>-120.860946</v>
      </c>
      <c r="X236">
        <v>1360</v>
      </c>
      <c r="Y236" t="s">
        <v>1157</v>
      </c>
      <c r="Z236" t="s">
        <v>1347</v>
      </c>
      <c r="AA236" t="s">
        <v>1236</v>
      </c>
      <c r="AB236" t="s">
        <v>514</v>
      </c>
      <c r="AC236" t="s">
        <v>366</v>
      </c>
      <c r="AD236" t="s">
        <v>1041</v>
      </c>
      <c r="AE236" t="s">
        <v>345</v>
      </c>
      <c r="AF236">
        <v>0.03</v>
      </c>
      <c r="AG236" t="s">
        <v>346</v>
      </c>
      <c r="AH236" t="s">
        <v>346</v>
      </c>
      <c r="AI236" t="s">
        <v>346</v>
      </c>
      <c r="AJ236" t="s">
        <v>592</v>
      </c>
      <c r="AK236">
        <v>45</v>
      </c>
      <c r="AL236" t="s">
        <v>377</v>
      </c>
      <c r="AM236" t="s">
        <v>347</v>
      </c>
      <c r="AN236" t="s">
        <v>348</v>
      </c>
      <c r="AO236" t="s">
        <v>367</v>
      </c>
      <c r="AP236" t="s">
        <v>386</v>
      </c>
      <c r="AQ236" t="s">
        <v>368</v>
      </c>
      <c r="AR236" t="s">
        <v>369</v>
      </c>
      <c r="AS236">
        <v>11</v>
      </c>
      <c r="AT236" t="s">
        <v>349</v>
      </c>
      <c r="AU236" t="s">
        <v>349</v>
      </c>
      <c r="AV236" t="s">
        <v>367</v>
      </c>
      <c r="AW236" t="s">
        <v>367</v>
      </c>
      <c r="AX236" t="s">
        <v>367</v>
      </c>
      <c r="AY236" t="s">
        <v>367</v>
      </c>
      <c r="AZ236" t="s">
        <v>367</v>
      </c>
      <c r="BA236" t="s">
        <v>367</v>
      </c>
      <c r="BB236" t="s">
        <v>367</v>
      </c>
      <c r="BC236">
        <v>3</v>
      </c>
    </row>
    <row r="237" spans="1:55" ht="15" customHeight="1" x14ac:dyDescent="0.35">
      <c r="A237" t="s">
        <v>1065</v>
      </c>
      <c r="B237" t="s">
        <v>1661</v>
      </c>
      <c r="C237" t="s">
        <v>1105</v>
      </c>
      <c r="D237" t="s">
        <v>84</v>
      </c>
      <c r="E237">
        <v>1991</v>
      </c>
      <c r="G237" t="s">
        <v>335</v>
      </c>
      <c r="H237" t="s">
        <v>335</v>
      </c>
      <c r="I237" t="s">
        <v>335</v>
      </c>
      <c r="J237" t="s">
        <v>339</v>
      </c>
      <c r="K237" t="s">
        <v>335</v>
      </c>
      <c r="L237" t="s">
        <v>335</v>
      </c>
      <c r="M237" t="s">
        <v>352</v>
      </c>
      <c r="N237" t="s">
        <v>352</v>
      </c>
      <c r="P237" t="s">
        <v>395</v>
      </c>
      <c r="Q237" t="s">
        <v>1168</v>
      </c>
      <c r="R237" t="s">
        <v>1169</v>
      </c>
      <c r="S237" t="s">
        <v>1160</v>
      </c>
      <c r="T237" t="s">
        <v>1235</v>
      </c>
      <c r="U237" t="s">
        <v>1239</v>
      </c>
      <c r="V237">
        <v>42.747413000000002</v>
      </c>
      <c r="W237">
        <v>-120.860946</v>
      </c>
      <c r="X237">
        <v>1360</v>
      </c>
      <c r="Y237" t="s">
        <v>1157</v>
      </c>
      <c r="AA237" t="s">
        <v>393</v>
      </c>
      <c r="AB237" t="s">
        <v>393</v>
      </c>
      <c r="AC237" t="s">
        <v>366</v>
      </c>
      <c r="AD237" t="s">
        <v>1041</v>
      </c>
      <c r="AE237" t="s">
        <v>345</v>
      </c>
      <c r="AF237">
        <v>0.12</v>
      </c>
      <c r="AG237" t="s">
        <v>346</v>
      </c>
      <c r="AH237" t="s">
        <v>346</v>
      </c>
      <c r="AI237" t="s">
        <v>346</v>
      </c>
      <c r="AJ237" t="s">
        <v>592</v>
      </c>
      <c r="AK237">
        <v>49</v>
      </c>
      <c r="AL237" t="s">
        <v>377</v>
      </c>
      <c r="AM237" t="s">
        <v>347</v>
      </c>
      <c r="AN237" t="s">
        <v>348</v>
      </c>
      <c r="AO237" t="s">
        <v>367</v>
      </c>
      <c r="AP237" t="s">
        <v>386</v>
      </c>
      <c r="AQ237" t="s">
        <v>368</v>
      </c>
      <c r="AR237" t="s">
        <v>369</v>
      </c>
      <c r="AS237">
        <v>11</v>
      </c>
      <c r="AT237" t="s">
        <v>349</v>
      </c>
      <c r="AU237" t="s">
        <v>349</v>
      </c>
      <c r="AV237" t="s">
        <v>367</v>
      </c>
      <c r="AW237" t="s">
        <v>367</v>
      </c>
      <c r="AX237" t="s">
        <v>367</v>
      </c>
      <c r="AY237" t="s">
        <v>367</v>
      </c>
      <c r="AZ237" t="s">
        <v>367</v>
      </c>
      <c r="BA237" t="s">
        <v>367</v>
      </c>
      <c r="BB237" t="s">
        <v>367</v>
      </c>
      <c r="BC237">
        <v>3</v>
      </c>
    </row>
    <row r="238" spans="1:55" ht="15" customHeight="1" x14ac:dyDescent="0.35">
      <c r="A238" t="s">
        <v>1065</v>
      </c>
      <c r="B238" t="s">
        <v>1661</v>
      </c>
      <c r="C238" t="s">
        <v>1105</v>
      </c>
      <c r="D238" t="s">
        <v>84</v>
      </c>
      <c r="E238">
        <v>1991</v>
      </c>
      <c r="G238" t="s">
        <v>335</v>
      </c>
      <c r="H238" t="s">
        <v>335</v>
      </c>
      <c r="I238" t="s">
        <v>335</v>
      </c>
      <c r="J238" t="s">
        <v>339</v>
      </c>
      <c r="K238" t="s">
        <v>335</v>
      </c>
      <c r="L238" t="s">
        <v>335</v>
      </c>
      <c r="M238" t="s">
        <v>352</v>
      </c>
      <c r="N238" t="s">
        <v>352</v>
      </c>
      <c r="P238" t="s">
        <v>395</v>
      </c>
      <c r="Q238" t="s">
        <v>1170</v>
      </c>
      <c r="R238" t="s">
        <v>1171</v>
      </c>
      <c r="S238" t="s">
        <v>1161</v>
      </c>
      <c r="T238" t="s">
        <v>1235</v>
      </c>
      <c r="U238" t="s">
        <v>1239</v>
      </c>
      <c r="V238">
        <v>42.747413000000002</v>
      </c>
      <c r="W238">
        <v>-120.860946</v>
      </c>
      <c r="X238">
        <v>1360</v>
      </c>
      <c r="Y238" t="s">
        <v>1157</v>
      </c>
      <c r="AA238" t="s">
        <v>393</v>
      </c>
      <c r="AB238" t="s">
        <v>393</v>
      </c>
      <c r="AC238" t="s">
        <v>366</v>
      </c>
      <c r="AD238" t="s">
        <v>1041</v>
      </c>
      <c r="AE238" t="s">
        <v>345</v>
      </c>
      <c r="AF238">
        <v>0.86</v>
      </c>
      <c r="AG238" t="s">
        <v>346</v>
      </c>
      <c r="AH238" t="s">
        <v>346</v>
      </c>
      <c r="AI238" t="s">
        <v>346</v>
      </c>
      <c r="AJ238" t="s">
        <v>592</v>
      </c>
      <c r="AK238">
        <v>19</v>
      </c>
      <c r="AL238" t="s">
        <v>377</v>
      </c>
      <c r="AM238" t="s">
        <v>347</v>
      </c>
      <c r="AN238" t="s">
        <v>348</v>
      </c>
      <c r="AO238" t="s">
        <v>367</v>
      </c>
      <c r="AP238" t="s">
        <v>386</v>
      </c>
      <c r="AQ238" t="s">
        <v>368</v>
      </c>
      <c r="AR238" t="s">
        <v>369</v>
      </c>
      <c r="AS238">
        <v>19</v>
      </c>
      <c r="AT238" t="s">
        <v>349</v>
      </c>
      <c r="AU238" t="s">
        <v>349</v>
      </c>
      <c r="AV238" t="s">
        <v>349</v>
      </c>
      <c r="AW238" t="s">
        <v>367</v>
      </c>
      <c r="AX238" t="s">
        <v>367</v>
      </c>
      <c r="AY238" t="s">
        <v>367</v>
      </c>
      <c r="AZ238" t="s">
        <v>367</v>
      </c>
      <c r="BA238" t="s">
        <v>367</v>
      </c>
      <c r="BB238" t="s">
        <v>367</v>
      </c>
      <c r="BC238">
        <v>3.5</v>
      </c>
    </row>
    <row r="239" spans="1:55" ht="15" customHeight="1" x14ac:dyDescent="0.35">
      <c r="A239" t="s">
        <v>1065</v>
      </c>
      <c r="B239" t="s">
        <v>1661</v>
      </c>
      <c r="C239" t="s">
        <v>1105</v>
      </c>
      <c r="D239" t="s">
        <v>84</v>
      </c>
      <c r="E239">
        <v>1991</v>
      </c>
      <c r="G239" t="s">
        <v>335</v>
      </c>
      <c r="H239" t="s">
        <v>335</v>
      </c>
      <c r="I239" t="s">
        <v>335</v>
      </c>
      <c r="J239" t="s">
        <v>339</v>
      </c>
      <c r="K239" t="s">
        <v>335</v>
      </c>
      <c r="L239" t="s">
        <v>335</v>
      </c>
      <c r="M239" t="s">
        <v>352</v>
      </c>
      <c r="N239" t="s">
        <v>352</v>
      </c>
      <c r="P239" t="s">
        <v>395</v>
      </c>
      <c r="Q239" t="s">
        <v>1170</v>
      </c>
      <c r="R239" t="s">
        <v>1171</v>
      </c>
      <c r="S239" t="s">
        <v>1161</v>
      </c>
      <c r="T239" t="s">
        <v>1235</v>
      </c>
      <c r="U239" t="s">
        <v>1239</v>
      </c>
      <c r="V239">
        <v>42.747413000000002</v>
      </c>
      <c r="W239">
        <v>-120.860946</v>
      </c>
      <c r="X239">
        <v>1360</v>
      </c>
      <c r="Y239" t="s">
        <v>1157</v>
      </c>
      <c r="Z239" t="s">
        <v>1345</v>
      </c>
      <c r="AA239" t="s">
        <v>1236</v>
      </c>
      <c r="AB239" t="s">
        <v>512</v>
      </c>
      <c r="AC239" t="s">
        <v>366</v>
      </c>
      <c r="AD239" t="s">
        <v>1173</v>
      </c>
      <c r="AE239" t="s">
        <v>345</v>
      </c>
      <c r="AF239">
        <v>0.68</v>
      </c>
      <c r="AG239" t="s">
        <v>346</v>
      </c>
      <c r="AH239" t="s">
        <v>346</v>
      </c>
      <c r="AI239" t="s">
        <v>346</v>
      </c>
      <c r="AJ239" t="s">
        <v>592</v>
      </c>
      <c r="AK239">
        <v>23</v>
      </c>
      <c r="AL239" t="s">
        <v>377</v>
      </c>
      <c r="AM239" t="s">
        <v>347</v>
      </c>
      <c r="AN239" t="s">
        <v>348</v>
      </c>
      <c r="AO239" t="s">
        <v>367</v>
      </c>
      <c r="AP239" t="s">
        <v>386</v>
      </c>
      <c r="AQ239" t="s">
        <v>368</v>
      </c>
      <c r="AR239" t="s">
        <v>369</v>
      </c>
      <c r="AS239">
        <v>19</v>
      </c>
      <c r="AT239" t="s">
        <v>349</v>
      </c>
      <c r="AU239" t="s">
        <v>349</v>
      </c>
      <c r="AV239" t="s">
        <v>349</v>
      </c>
      <c r="AW239" t="s">
        <v>367</v>
      </c>
      <c r="AX239" t="s">
        <v>367</v>
      </c>
      <c r="AY239" t="s">
        <v>367</v>
      </c>
      <c r="AZ239" t="s">
        <v>367</v>
      </c>
      <c r="BA239" t="s">
        <v>367</v>
      </c>
      <c r="BB239" t="s">
        <v>367</v>
      </c>
      <c r="BC239">
        <v>3.5</v>
      </c>
    </row>
    <row r="240" spans="1:55" ht="15" customHeight="1" x14ac:dyDescent="0.35">
      <c r="A240" t="s">
        <v>1065</v>
      </c>
      <c r="B240" t="s">
        <v>1661</v>
      </c>
      <c r="C240" t="s">
        <v>1105</v>
      </c>
      <c r="D240" t="s">
        <v>84</v>
      </c>
      <c r="E240">
        <v>1991</v>
      </c>
      <c r="G240" t="s">
        <v>335</v>
      </c>
      <c r="H240" t="s">
        <v>335</v>
      </c>
      <c r="I240" t="s">
        <v>335</v>
      </c>
      <c r="J240" t="s">
        <v>339</v>
      </c>
      <c r="K240" t="s">
        <v>335</v>
      </c>
      <c r="L240" t="s">
        <v>335</v>
      </c>
      <c r="M240" t="s">
        <v>352</v>
      </c>
      <c r="N240" t="s">
        <v>335</v>
      </c>
      <c r="P240" t="s">
        <v>395</v>
      </c>
      <c r="Q240" t="s">
        <v>1168</v>
      </c>
      <c r="R240" t="s">
        <v>1169</v>
      </c>
      <c r="S240" t="s">
        <v>1160</v>
      </c>
      <c r="T240" t="s">
        <v>1235</v>
      </c>
      <c r="U240" t="s">
        <v>1239</v>
      </c>
      <c r="V240">
        <v>42.747413000000002</v>
      </c>
      <c r="W240">
        <v>-120.860946</v>
      </c>
      <c r="X240">
        <v>1360</v>
      </c>
      <c r="Y240" t="s">
        <v>1157</v>
      </c>
      <c r="Z240" t="s">
        <v>1345</v>
      </c>
      <c r="AA240" t="s">
        <v>1236</v>
      </c>
      <c r="AB240" t="s">
        <v>512</v>
      </c>
      <c r="AC240" t="s">
        <v>1241</v>
      </c>
      <c r="AD240" t="s">
        <v>1258</v>
      </c>
      <c r="AE240" t="s">
        <v>354</v>
      </c>
      <c r="AF240">
        <v>0</v>
      </c>
      <c r="AG240" t="s">
        <v>346</v>
      </c>
      <c r="AH240" t="s">
        <v>346</v>
      </c>
      <c r="AI240" t="s">
        <v>346</v>
      </c>
      <c r="AJ240" t="s">
        <v>838</v>
      </c>
      <c r="AK240">
        <v>44</v>
      </c>
      <c r="AL240" t="s">
        <v>377</v>
      </c>
      <c r="AM240" t="s">
        <v>347</v>
      </c>
      <c r="AN240" t="s">
        <v>348</v>
      </c>
      <c r="AO240" t="s">
        <v>367</v>
      </c>
      <c r="AP240" t="s">
        <v>386</v>
      </c>
      <c r="AQ240" t="s">
        <v>368</v>
      </c>
      <c r="AR240" t="s">
        <v>369</v>
      </c>
      <c r="AS240">
        <v>11</v>
      </c>
      <c r="AT240" t="s">
        <v>349</v>
      </c>
      <c r="AU240" t="s">
        <v>349</v>
      </c>
      <c r="AV240" t="s">
        <v>367</v>
      </c>
      <c r="AW240" t="s">
        <v>367</v>
      </c>
      <c r="AX240" t="s">
        <v>367</v>
      </c>
      <c r="AY240" t="s">
        <v>367</v>
      </c>
      <c r="AZ240" t="s">
        <v>367</v>
      </c>
      <c r="BA240" t="s">
        <v>367</v>
      </c>
      <c r="BB240" t="s">
        <v>367</v>
      </c>
      <c r="BC240">
        <v>3</v>
      </c>
    </row>
    <row r="241" spans="1:55" ht="15" customHeight="1" x14ac:dyDescent="0.35">
      <c r="A241" t="s">
        <v>1065</v>
      </c>
      <c r="B241" t="s">
        <v>1661</v>
      </c>
      <c r="C241" t="s">
        <v>1105</v>
      </c>
      <c r="D241" t="s">
        <v>84</v>
      </c>
      <c r="E241">
        <v>1991</v>
      </c>
      <c r="G241" t="s">
        <v>335</v>
      </c>
      <c r="H241" t="s">
        <v>335</v>
      </c>
      <c r="I241" t="s">
        <v>335</v>
      </c>
      <c r="J241" t="s">
        <v>339</v>
      </c>
      <c r="K241" t="s">
        <v>335</v>
      </c>
      <c r="L241" t="s">
        <v>335</v>
      </c>
      <c r="M241" t="s">
        <v>352</v>
      </c>
      <c r="N241" t="s">
        <v>335</v>
      </c>
      <c r="P241" t="s">
        <v>395</v>
      </c>
      <c r="Q241" t="s">
        <v>1168</v>
      </c>
      <c r="R241" t="s">
        <v>1169</v>
      </c>
      <c r="S241" t="s">
        <v>1160</v>
      </c>
      <c r="T241" t="s">
        <v>1235</v>
      </c>
      <c r="U241" t="s">
        <v>1239</v>
      </c>
      <c r="V241">
        <v>42.747413000000002</v>
      </c>
      <c r="W241">
        <v>-120.860946</v>
      </c>
      <c r="X241">
        <v>1360</v>
      </c>
      <c r="Y241" t="s">
        <v>1157</v>
      </c>
      <c r="Z241" t="s">
        <v>1346</v>
      </c>
      <c r="AA241" t="s">
        <v>1236</v>
      </c>
      <c r="AB241" t="s">
        <v>514</v>
      </c>
      <c r="AC241" t="s">
        <v>1241</v>
      </c>
      <c r="AD241" t="s">
        <v>1258</v>
      </c>
      <c r="AE241" t="s">
        <v>345</v>
      </c>
      <c r="AF241">
        <v>0.02</v>
      </c>
      <c r="AG241" t="s">
        <v>346</v>
      </c>
      <c r="AH241" t="s">
        <v>346</v>
      </c>
      <c r="AI241" t="s">
        <v>346</v>
      </c>
      <c r="AJ241" t="s">
        <v>838</v>
      </c>
      <c r="AK241">
        <v>45</v>
      </c>
      <c r="AL241" t="s">
        <v>377</v>
      </c>
      <c r="AM241" t="s">
        <v>347</v>
      </c>
      <c r="AN241" t="s">
        <v>348</v>
      </c>
      <c r="AO241" t="s">
        <v>367</v>
      </c>
      <c r="AP241" t="s">
        <v>386</v>
      </c>
      <c r="AQ241" t="s">
        <v>368</v>
      </c>
      <c r="AR241" t="s">
        <v>369</v>
      </c>
      <c r="AS241">
        <v>11</v>
      </c>
      <c r="AT241" t="s">
        <v>349</v>
      </c>
      <c r="AU241" t="s">
        <v>349</v>
      </c>
      <c r="AV241" t="s">
        <v>367</v>
      </c>
      <c r="AW241" t="s">
        <v>367</v>
      </c>
      <c r="AX241" t="s">
        <v>367</v>
      </c>
      <c r="AY241" t="s">
        <v>367</v>
      </c>
      <c r="AZ241" t="s">
        <v>367</v>
      </c>
      <c r="BA241" t="s">
        <v>367</v>
      </c>
      <c r="BB241" t="s">
        <v>367</v>
      </c>
      <c r="BC241">
        <v>3</v>
      </c>
    </row>
    <row r="242" spans="1:55" ht="15" customHeight="1" x14ac:dyDescent="0.35">
      <c r="A242" t="s">
        <v>1065</v>
      </c>
      <c r="B242" t="s">
        <v>1661</v>
      </c>
      <c r="C242" t="s">
        <v>1105</v>
      </c>
      <c r="D242" t="s">
        <v>84</v>
      </c>
      <c r="E242">
        <v>1991</v>
      </c>
      <c r="G242" t="s">
        <v>335</v>
      </c>
      <c r="H242" t="s">
        <v>335</v>
      </c>
      <c r="I242" t="s">
        <v>335</v>
      </c>
      <c r="J242" t="s">
        <v>339</v>
      </c>
      <c r="K242" t="s">
        <v>335</v>
      </c>
      <c r="L242" t="s">
        <v>335</v>
      </c>
      <c r="M242" t="s">
        <v>352</v>
      </c>
      <c r="N242" t="s">
        <v>335</v>
      </c>
      <c r="P242" t="s">
        <v>395</v>
      </c>
      <c r="Q242" t="s">
        <v>1168</v>
      </c>
      <c r="R242" t="s">
        <v>1169</v>
      </c>
      <c r="S242" t="s">
        <v>1160</v>
      </c>
      <c r="T242" t="s">
        <v>1235</v>
      </c>
      <c r="U242" t="s">
        <v>1239</v>
      </c>
      <c r="V242">
        <v>42.747413000000002</v>
      </c>
      <c r="W242">
        <v>-120.860946</v>
      </c>
      <c r="X242">
        <v>1360</v>
      </c>
      <c r="Y242" t="s">
        <v>1157</v>
      </c>
      <c r="Z242" t="s">
        <v>1172</v>
      </c>
      <c r="AA242" t="s">
        <v>393</v>
      </c>
      <c r="AB242" t="s">
        <v>393</v>
      </c>
      <c r="AC242" t="s">
        <v>1241</v>
      </c>
      <c r="AD242" t="s">
        <v>1258</v>
      </c>
      <c r="AE242" t="s">
        <v>345</v>
      </c>
      <c r="AF242">
        <v>0.08</v>
      </c>
      <c r="AG242" t="s">
        <v>346</v>
      </c>
      <c r="AH242" t="s">
        <v>346</v>
      </c>
      <c r="AI242" t="s">
        <v>346</v>
      </c>
      <c r="AJ242" t="s">
        <v>838</v>
      </c>
      <c r="AK242">
        <v>49</v>
      </c>
      <c r="AL242" t="s">
        <v>377</v>
      </c>
      <c r="AM242" t="s">
        <v>347</v>
      </c>
      <c r="AN242" t="s">
        <v>348</v>
      </c>
      <c r="AO242" t="s">
        <v>367</v>
      </c>
      <c r="AP242" t="s">
        <v>386</v>
      </c>
      <c r="AQ242" t="s">
        <v>368</v>
      </c>
      <c r="AR242" t="s">
        <v>369</v>
      </c>
      <c r="AS242">
        <v>11</v>
      </c>
      <c r="AT242" t="s">
        <v>349</v>
      </c>
      <c r="AU242" t="s">
        <v>349</v>
      </c>
      <c r="AV242" t="s">
        <v>367</v>
      </c>
      <c r="AW242" t="s">
        <v>367</v>
      </c>
      <c r="AX242" t="s">
        <v>367</v>
      </c>
      <c r="AY242" t="s">
        <v>367</v>
      </c>
      <c r="AZ242" t="s">
        <v>367</v>
      </c>
      <c r="BA242" t="s">
        <v>367</v>
      </c>
      <c r="BB242" t="s">
        <v>367</v>
      </c>
      <c r="BC242">
        <v>3</v>
      </c>
    </row>
    <row r="243" spans="1:55" ht="15" customHeight="1" x14ac:dyDescent="0.35">
      <c r="A243" t="s">
        <v>1065</v>
      </c>
      <c r="B243" t="s">
        <v>1661</v>
      </c>
      <c r="C243" t="s">
        <v>1105</v>
      </c>
      <c r="D243" t="s">
        <v>84</v>
      </c>
      <c r="E243">
        <v>1991</v>
      </c>
      <c r="G243" t="s">
        <v>335</v>
      </c>
      <c r="H243" t="s">
        <v>335</v>
      </c>
      <c r="I243" t="s">
        <v>335</v>
      </c>
      <c r="J243" t="s">
        <v>339</v>
      </c>
      <c r="K243" t="s">
        <v>335</v>
      </c>
      <c r="L243" t="s">
        <v>335</v>
      </c>
      <c r="M243" t="s">
        <v>352</v>
      </c>
      <c r="N243" t="s">
        <v>335</v>
      </c>
      <c r="P243" t="s">
        <v>395</v>
      </c>
      <c r="Q243" t="s">
        <v>1170</v>
      </c>
      <c r="R243" t="s">
        <v>1171</v>
      </c>
      <c r="S243" t="s">
        <v>1161</v>
      </c>
      <c r="T243" t="s">
        <v>1235</v>
      </c>
      <c r="U243" t="s">
        <v>1239</v>
      </c>
      <c r="V243">
        <v>42.747413000000002</v>
      </c>
      <c r="W243">
        <v>-120.860946</v>
      </c>
      <c r="X243">
        <v>1360</v>
      </c>
      <c r="Y243" t="s">
        <v>1157</v>
      </c>
      <c r="Z243" t="s">
        <v>1172</v>
      </c>
      <c r="AA243" t="s">
        <v>393</v>
      </c>
      <c r="AB243" t="s">
        <v>393</v>
      </c>
      <c r="AC243" t="s">
        <v>1241</v>
      </c>
      <c r="AD243" t="s">
        <v>1258</v>
      </c>
      <c r="AE243" t="s">
        <v>345</v>
      </c>
      <c r="AF243">
        <v>0.31</v>
      </c>
      <c r="AG243" t="s">
        <v>346</v>
      </c>
      <c r="AH243" t="s">
        <v>346</v>
      </c>
      <c r="AI243" t="s">
        <v>346</v>
      </c>
      <c r="AJ243" t="s">
        <v>838</v>
      </c>
      <c r="AK243">
        <v>19</v>
      </c>
      <c r="AL243" t="s">
        <v>377</v>
      </c>
      <c r="AM243" t="s">
        <v>347</v>
      </c>
      <c r="AN243" t="s">
        <v>348</v>
      </c>
      <c r="AO243" t="s">
        <v>367</v>
      </c>
      <c r="AP243" t="s">
        <v>386</v>
      </c>
      <c r="AQ243" t="s">
        <v>368</v>
      </c>
      <c r="AR243" t="s">
        <v>369</v>
      </c>
      <c r="AS243">
        <v>19</v>
      </c>
      <c r="AT243" t="s">
        <v>349</v>
      </c>
      <c r="AU243" t="s">
        <v>349</v>
      </c>
      <c r="AV243" t="s">
        <v>349</v>
      </c>
      <c r="AW243" t="s">
        <v>367</v>
      </c>
      <c r="AX243" t="s">
        <v>367</v>
      </c>
      <c r="AY243" t="s">
        <v>367</v>
      </c>
      <c r="AZ243" t="s">
        <v>367</v>
      </c>
      <c r="BA243" t="s">
        <v>367</v>
      </c>
      <c r="BB243" t="s">
        <v>367</v>
      </c>
      <c r="BC243">
        <v>3.5</v>
      </c>
    </row>
    <row r="244" spans="1:55" ht="15" customHeight="1" x14ac:dyDescent="0.35">
      <c r="A244" t="s">
        <v>1065</v>
      </c>
      <c r="B244" t="s">
        <v>1661</v>
      </c>
      <c r="C244" t="s">
        <v>1105</v>
      </c>
      <c r="D244" t="s">
        <v>84</v>
      </c>
      <c r="E244">
        <v>1991</v>
      </c>
      <c r="G244" t="s">
        <v>335</v>
      </c>
      <c r="H244" t="s">
        <v>335</v>
      </c>
      <c r="I244" t="s">
        <v>335</v>
      </c>
      <c r="J244" t="s">
        <v>339</v>
      </c>
      <c r="K244" t="s">
        <v>335</v>
      </c>
      <c r="L244" t="s">
        <v>335</v>
      </c>
      <c r="M244" t="s">
        <v>352</v>
      </c>
      <c r="N244" t="s">
        <v>335</v>
      </c>
      <c r="P244" t="s">
        <v>395</v>
      </c>
      <c r="Q244" t="s">
        <v>1170</v>
      </c>
      <c r="R244" t="s">
        <v>1171</v>
      </c>
      <c r="S244" t="s">
        <v>1161</v>
      </c>
      <c r="T244" t="s">
        <v>1235</v>
      </c>
      <c r="U244" t="s">
        <v>1239</v>
      </c>
      <c r="V244">
        <v>42.747413000000002</v>
      </c>
      <c r="W244">
        <v>-120.860946</v>
      </c>
      <c r="X244">
        <v>1360</v>
      </c>
      <c r="Y244" t="s">
        <v>1157</v>
      </c>
      <c r="Z244" t="s">
        <v>1345</v>
      </c>
      <c r="AA244" t="s">
        <v>1236</v>
      </c>
      <c r="AB244" t="s">
        <v>512</v>
      </c>
      <c r="AC244" t="s">
        <v>1241</v>
      </c>
      <c r="AD244" t="s">
        <v>1258</v>
      </c>
      <c r="AE244" t="s">
        <v>345</v>
      </c>
      <c r="AF244">
        <v>0.22</v>
      </c>
      <c r="AG244" t="s">
        <v>346</v>
      </c>
      <c r="AH244" t="s">
        <v>346</v>
      </c>
      <c r="AI244" t="s">
        <v>346</v>
      </c>
      <c r="AJ244" t="s">
        <v>838</v>
      </c>
      <c r="AK244">
        <v>23</v>
      </c>
      <c r="AL244" t="s">
        <v>377</v>
      </c>
      <c r="AM244" t="s">
        <v>347</v>
      </c>
      <c r="AN244" t="s">
        <v>348</v>
      </c>
      <c r="AO244" t="s">
        <v>367</v>
      </c>
      <c r="AP244" t="s">
        <v>386</v>
      </c>
      <c r="AQ244" t="s">
        <v>368</v>
      </c>
      <c r="AR244" t="s">
        <v>369</v>
      </c>
      <c r="AS244">
        <v>19</v>
      </c>
      <c r="AT244" t="s">
        <v>349</v>
      </c>
      <c r="AU244" t="s">
        <v>349</v>
      </c>
      <c r="AV244" t="s">
        <v>349</v>
      </c>
      <c r="AW244" t="s">
        <v>367</v>
      </c>
      <c r="AX244" t="s">
        <v>367</v>
      </c>
      <c r="AY244" t="s">
        <v>367</v>
      </c>
      <c r="AZ244" t="s">
        <v>367</v>
      </c>
      <c r="BA244" t="s">
        <v>367</v>
      </c>
      <c r="BB244" t="s">
        <v>367</v>
      </c>
      <c r="BC244">
        <v>3.5</v>
      </c>
    </row>
    <row r="245" spans="1:55" ht="15" customHeight="1" x14ac:dyDescent="0.35">
      <c r="A245" t="s">
        <v>995</v>
      </c>
      <c r="B245" t="s">
        <v>1662</v>
      </c>
      <c r="C245" t="s">
        <v>958</v>
      </c>
      <c r="D245" t="s">
        <v>959</v>
      </c>
      <c r="E245">
        <v>1991</v>
      </c>
      <c r="F245" s="6" t="s">
        <v>960</v>
      </c>
      <c r="G245" t="s">
        <v>352</v>
      </c>
      <c r="H245" t="s">
        <v>335</v>
      </c>
      <c r="I245" t="s">
        <v>335</v>
      </c>
      <c r="J245" t="s">
        <v>339</v>
      </c>
      <c r="K245" t="s">
        <v>335</v>
      </c>
      <c r="L245" t="s">
        <v>335</v>
      </c>
      <c r="M245" t="s">
        <v>352</v>
      </c>
      <c r="N245" t="s">
        <v>335</v>
      </c>
      <c r="P245" t="s">
        <v>1039</v>
      </c>
      <c r="Q245" t="s">
        <v>1040</v>
      </c>
      <c r="R245" t="s">
        <v>531</v>
      </c>
      <c r="S245" t="s">
        <v>1004</v>
      </c>
      <c r="T245" t="s">
        <v>1235</v>
      </c>
      <c r="U245" t="s">
        <v>1239</v>
      </c>
      <c r="V245">
        <v>-30.4</v>
      </c>
      <c r="W245">
        <v>118.3</v>
      </c>
      <c r="X245">
        <v>470</v>
      </c>
      <c r="Y245" t="s">
        <v>1038</v>
      </c>
      <c r="AA245" t="s">
        <v>1236</v>
      </c>
      <c r="AB245" t="s">
        <v>514</v>
      </c>
      <c r="AC245" t="s">
        <v>1241</v>
      </c>
      <c r="AD245" t="s">
        <v>816</v>
      </c>
      <c r="AE245" t="s">
        <v>345</v>
      </c>
      <c r="AF245" t="s">
        <v>346</v>
      </c>
      <c r="AG245" t="s">
        <v>346</v>
      </c>
      <c r="AH245" t="s">
        <v>346</v>
      </c>
      <c r="AI245" t="s">
        <v>346</v>
      </c>
      <c r="AJ245" t="s">
        <v>339</v>
      </c>
      <c r="AK245">
        <v>63</v>
      </c>
      <c r="AL245" t="s">
        <v>529</v>
      </c>
      <c r="AM245" t="s">
        <v>347</v>
      </c>
      <c r="AN245" t="s">
        <v>410</v>
      </c>
      <c r="AO245" t="s">
        <v>367</v>
      </c>
      <c r="AP245" t="s">
        <v>411</v>
      </c>
      <c r="AQ245" t="s">
        <v>368</v>
      </c>
      <c r="AR245" t="s">
        <v>369</v>
      </c>
      <c r="AS245">
        <v>420</v>
      </c>
      <c r="AT245" t="s">
        <v>367</v>
      </c>
      <c r="AU245" t="s">
        <v>349</v>
      </c>
      <c r="AV245" t="s">
        <v>367</v>
      </c>
      <c r="AW245" t="s">
        <v>367</v>
      </c>
      <c r="AX245" t="s">
        <v>367</v>
      </c>
      <c r="AY245" t="s">
        <v>367</v>
      </c>
      <c r="AZ245" t="s">
        <v>367</v>
      </c>
      <c r="BA245" t="s">
        <v>367</v>
      </c>
      <c r="BB245" t="s">
        <v>367</v>
      </c>
      <c r="BC245">
        <v>3.5</v>
      </c>
    </row>
    <row r="246" spans="1:55" ht="15" customHeight="1" x14ac:dyDescent="0.35">
      <c r="A246" t="s">
        <v>995</v>
      </c>
      <c r="B246" t="s">
        <v>1663</v>
      </c>
      <c r="C246" t="s">
        <v>281</v>
      </c>
      <c r="D246" t="s">
        <v>47</v>
      </c>
      <c r="E246">
        <v>2018</v>
      </c>
      <c r="F246" t="s">
        <v>282</v>
      </c>
      <c r="G246" t="s">
        <v>335</v>
      </c>
      <c r="H246" t="s">
        <v>335</v>
      </c>
      <c r="I246" t="s">
        <v>335</v>
      </c>
      <c r="J246" t="s">
        <v>339</v>
      </c>
      <c r="K246" t="s">
        <v>335</v>
      </c>
      <c r="L246" t="s">
        <v>335</v>
      </c>
      <c r="M246" t="s">
        <v>352</v>
      </c>
      <c r="N246" t="s">
        <v>352</v>
      </c>
      <c r="P246" t="s">
        <v>395</v>
      </c>
      <c r="Q246" t="s">
        <v>447</v>
      </c>
      <c r="R246" t="s">
        <v>448</v>
      </c>
      <c r="S246" t="s">
        <v>449</v>
      </c>
      <c r="T246" t="s">
        <v>348</v>
      </c>
      <c r="U246" t="s">
        <v>344</v>
      </c>
      <c r="V246">
        <v>31.654254000000002</v>
      </c>
      <c r="W246">
        <v>-110.578231</v>
      </c>
      <c r="X246">
        <v>1464</v>
      </c>
      <c r="Y246" t="s">
        <v>450</v>
      </c>
      <c r="Z246" t="s">
        <v>451</v>
      </c>
      <c r="AA246" t="s">
        <v>1247</v>
      </c>
      <c r="AB246" t="s">
        <v>400</v>
      </c>
      <c r="AC246" t="s">
        <v>366</v>
      </c>
      <c r="AD246" t="s">
        <v>1348</v>
      </c>
      <c r="AE246" t="s">
        <v>364</v>
      </c>
      <c r="AF246">
        <v>-0.81299999999999994</v>
      </c>
      <c r="AG246">
        <v>8.2000000000000003E-2</v>
      </c>
      <c r="AH246" t="s">
        <v>346</v>
      </c>
      <c r="AI246" t="s">
        <v>346</v>
      </c>
      <c r="AJ246" t="s">
        <v>592</v>
      </c>
      <c r="AK246">
        <v>128</v>
      </c>
      <c r="AL246" t="s">
        <v>377</v>
      </c>
      <c r="AM246" t="s">
        <v>452</v>
      </c>
      <c r="AN246" t="s">
        <v>410</v>
      </c>
      <c r="AO246" t="s">
        <v>349</v>
      </c>
      <c r="AP246" t="s">
        <v>424</v>
      </c>
      <c r="AQ246" t="s">
        <v>368</v>
      </c>
      <c r="AR246" t="s">
        <v>369</v>
      </c>
      <c r="AS246">
        <v>17</v>
      </c>
      <c r="AT246" t="s">
        <v>349</v>
      </c>
      <c r="AU246" t="s">
        <v>349</v>
      </c>
      <c r="AV246" t="s">
        <v>367</v>
      </c>
      <c r="AW246" t="s">
        <v>367</v>
      </c>
      <c r="AX246" t="s">
        <v>367</v>
      </c>
      <c r="AY246" t="s">
        <v>367</v>
      </c>
      <c r="AZ246" t="s">
        <v>367</v>
      </c>
      <c r="BA246" t="s">
        <v>367</v>
      </c>
      <c r="BB246" t="s">
        <v>367</v>
      </c>
      <c r="BC246">
        <v>4.5</v>
      </c>
    </row>
    <row r="247" spans="1:55" ht="15" customHeight="1" x14ac:dyDescent="0.35">
      <c r="A247" t="s">
        <v>995</v>
      </c>
      <c r="B247" t="s">
        <v>1663</v>
      </c>
      <c r="C247" t="s">
        <v>281</v>
      </c>
      <c r="D247" t="s">
        <v>47</v>
      </c>
      <c r="E247">
        <v>2018</v>
      </c>
      <c r="F247" t="s">
        <v>282</v>
      </c>
      <c r="G247" t="s">
        <v>335</v>
      </c>
      <c r="H247" t="s">
        <v>335</v>
      </c>
      <c r="I247" t="s">
        <v>335</v>
      </c>
      <c r="J247" t="s">
        <v>339</v>
      </c>
      <c r="K247" t="s">
        <v>335</v>
      </c>
      <c r="L247" t="s">
        <v>335</v>
      </c>
      <c r="M247" t="s">
        <v>352</v>
      </c>
      <c r="N247" t="s">
        <v>352</v>
      </c>
      <c r="P247" t="s">
        <v>395</v>
      </c>
      <c r="Q247" t="s">
        <v>447</v>
      </c>
      <c r="R247" t="s">
        <v>448</v>
      </c>
      <c r="S247" t="s">
        <v>449</v>
      </c>
      <c r="T247" t="s">
        <v>348</v>
      </c>
      <c r="U247" t="s">
        <v>344</v>
      </c>
      <c r="V247">
        <v>31.654254000000002</v>
      </c>
      <c r="W247">
        <v>-110.578231</v>
      </c>
      <c r="X247">
        <v>1464</v>
      </c>
      <c r="Y247" t="s">
        <v>450</v>
      </c>
      <c r="Z247" t="s">
        <v>451</v>
      </c>
      <c r="AA247" t="s">
        <v>1247</v>
      </c>
      <c r="AB247" t="s">
        <v>400</v>
      </c>
      <c r="AC247" t="s">
        <v>1241</v>
      </c>
      <c r="AD247" t="s">
        <v>1248</v>
      </c>
      <c r="AE247" t="s">
        <v>364</v>
      </c>
      <c r="AF247">
        <v>-1.1999999999999999E-3</v>
      </c>
      <c r="AG247">
        <v>6.0000000000000001E-3</v>
      </c>
      <c r="AH247" t="s">
        <v>346</v>
      </c>
      <c r="AI247" t="s">
        <v>346</v>
      </c>
      <c r="AJ247" t="s">
        <v>592</v>
      </c>
      <c r="AK247">
        <v>128</v>
      </c>
      <c r="AL247" t="s">
        <v>377</v>
      </c>
      <c r="AM247" t="s">
        <v>452</v>
      </c>
      <c r="AN247" t="s">
        <v>410</v>
      </c>
      <c r="AO247" t="s">
        <v>349</v>
      </c>
      <c r="AP247" t="s">
        <v>424</v>
      </c>
      <c r="AQ247" t="s">
        <v>368</v>
      </c>
      <c r="AR247" t="s">
        <v>369</v>
      </c>
      <c r="AS247">
        <v>17</v>
      </c>
      <c r="AT247" t="s">
        <v>349</v>
      </c>
      <c r="AU247" t="s">
        <v>349</v>
      </c>
      <c r="AV247" t="s">
        <v>367</v>
      </c>
      <c r="AW247" t="s">
        <v>367</v>
      </c>
      <c r="AX247" t="s">
        <v>367</v>
      </c>
      <c r="AY247" t="s">
        <v>367</v>
      </c>
      <c r="AZ247" t="s">
        <v>367</v>
      </c>
      <c r="BA247" t="s">
        <v>367</v>
      </c>
      <c r="BB247" t="s">
        <v>367</v>
      </c>
      <c r="BC247">
        <v>4.5</v>
      </c>
    </row>
    <row r="248" spans="1:55" ht="15" customHeight="1" x14ac:dyDescent="0.35">
      <c r="A248" t="s">
        <v>995</v>
      </c>
      <c r="B248" t="s">
        <v>1664</v>
      </c>
      <c r="C248" t="s">
        <v>283</v>
      </c>
      <c r="D248" t="s">
        <v>49</v>
      </c>
      <c r="E248">
        <v>2020</v>
      </c>
      <c r="F248" t="s">
        <v>284</v>
      </c>
      <c r="G248" t="s">
        <v>335</v>
      </c>
      <c r="H248" t="s">
        <v>335</v>
      </c>
      <c r="I248" t="s">
        <v>335</v>
      </c>
      <c r="J248" t="s">
        <v>339</v>
      </c>
      <c r="K248" t="s">
        <v>335</v>
      </c>
      <c r="L248" t="s">
        <v>335</v>
      </c>
      <c r="M248" t="s">
        <v>352</v>
      </c>
      <c r="N248" t="s">
        <v>352</v>
      </c>
      <c r="P248" t="s">
        <v>518</v>
      </c>
      <c r="Q248" t="s">
        <v>519</v>
      </c>
      <c r="R248" t="s">
        <v>520</v>
      </c>
      <c r="S248" t="s">
        <v>516</v>
      </c>
      <c r="T248" t="s">
        <v>1235</v>
      </c>
      <c r="U248" t="s">
        <v>1239</v>
      </c>
      <c r="V248">
        <v>48.0503</v>
      </c>
      <c r="W248">
        <v>15.5524</v>
      </c>
      <c r="X248">
        <v>689</v>
      </c>
      <c r="Y248" t="s">
        <v>910</v>
      </c>
      <c r="Z248" t="s">
        <v>1350</v>
      </c>
      <c r="AA248" t="s">
        <v>1247</v>
      </c>
      <c r="AB248" t="s">
        <v>1253</v>
      </c>
      <c r="AC248" t="s">
        <v>366</v>
      </c>
      <c r="AD248" t="s">
        <v>433</v>
      </c>
      <c r="AE248" t="s">
        <v>364</v>
      </c>
      <c r="AF248">
        <v>-0.53500000000000003</v>
      </c>
      <c r="AG248">
        <v>0.126</v>
      </c>
      <c r="AH248" t="s">
        <v>346</v>
      </c>
      <c r="AI248" t="s">
        <v>346</v>
      </c>
      <c r="AJ248" t="s">
        <v>592</v>
      </c>
      <c r="AK248">
        <v>276</v>
      </c>
      <c r="AL248" t="s">
        <v>377</v>
      </c>
      <c r="AM248" t="s">
        <v>347</v>
      </c>
      <c r="AN248" t="s">
        <v>410</v>
      </c>
      <c r="AO248" t="s">
        <v>367</v>
      </c>
      <c r="AP248" t="s">
        <v>411</v>
      </c>
      <c r="AQ248" t="s">
        <v>368</v>
      </c>
      <c r="AR248" t="s">
        <v>369</v>
      </c>
      <c r="AS248">
        <v>17</v>
      </c>
      <c r="AT248" t="s">
        <v>349</v>
      </c>
      <c r="AU248" t="s">
        <v>367</v>
      </c>
      <c r="AV248" t="s">
        <v>367</v>
      </c>
      <c r="AW248" t="s">
        <v>367</v>
      </c>
      <c r="AX248" t="s">
        <v>367</v>
      </c>
      <c r="AY248" t="s">
        <v>367</v>
      </c>
      <c r="AZ248" t="s">
        <v>367</v>
      </c>
      <c r="BA248" t="s">
        <v>367</v>
      </c>
      <c r="BB248" t="s">
        <v>367</v>
      </c>
      <c r="BC248">
        <v>8.5</v>
      </c>
    </row>
    <row r="249" spans="1:55" ht="15" customHeight="1" x14ac:dyDescent="0.35">
      <c r="A249" t="s">
        <v>995</v>
      </c>
      <c r="B249" t="s">
        <v>1664</v>
      </c>
      <c r="C249" t="s">
        <v>283</v>
      </c>
      <c r="D249" t="s">
        <v>49</v>
      </c>
      <c r="E249">
        <v>2020</v>
      </c>
      <c r="F249" t="s">
        <v>284</v>
      </c>
      <c r="G249" t="s">
        <v>335</v>
      </c>
      <c r="H249" t="s">
        <v>335</v>
      </c>
      <c r="I249" t="s">
        <v>335</v>
      </c>
      <c r="J249" t="s">
        <v>339</v>
      </c>
      <c r="K249" t="s">
        <v>335</v>
      </c>
      <c r="L249" t="s">
        <v>335</v>
      </c>
      <c r="M249" t="s">
        <v>352</v>
      </c>
      <c r="N249" t="s">
        <v>352</v>
      </c>
      <c r="P249" t="s">
        <v>518</v>
      </c>
      <c r="Q249" t="s">
        <v>519</v>
      </c>
      <c r="R249" t="s">
        <v>520</v>
      </c>
      <c r="S249" t="s">
        <v>516</v>
      </c>
      <c r="T249" t="s">
        <v>1235</v>
      </c>
      <c r="U249" t="s">
        <v>1239</v>
      </c>
      <c r="V249">
        <v>48.0503</v>
      </c>
      <c r="W249">
        <v>15.5524</v>
      </c>
      <c r="X249">
        <v>689</v>
      </c>
      <c r="Y249" t="s">
        <v>910</v>
      </c>
      <c r="Z249" t="s">
        <v>1349</v>
      </c>
      <c r="AA249" t="s">
        <v>1247</v>
      </c>
      <c r="AB249" t="s">
        <v>1253</v>
      </c>
      <c r="AC249" t="s">
        <v>366</v>
      </c>
      <c r="AD249" t="s">
        <v>433</v>
      </c>
      <c r="AE249" t="s">
        <v>364</v>
      </c>
      <c r="AF249">
        <v>-0.61599999999999999</v>
      </c>
      <c r="AG249">
        <v>0.20499999999999999</v>
      </c>
      <c r="AH249" t="s">
        <v>346</v>
      </c>
      <c r="AI249" t="s">
        <v>346</v>
      </c>
      <c r="AJ249" t="s">
        <v>592</v>
      </c>
      <c r="AK249">
        <v>317</v>
      </c>
      <c r="AL249" t="s">
        <v>377</v>
      </c>
      <c r="AM249" t="s">
        <v>347</v>
      </c>
      <c r="AN249" t="s">
        <v>410</v>
      </c>
      <c r="AO249" t="s">
        <v>367</v>
      </c>
      <c r="AP249" t="s">
        <v>411</v>
      </c>
      <c r="AQ249" t="s">
        <v>368</v>
      </c>
      <c r="AR249" t="s">
        <v>369</v>
      </c>
      <c r="AS249">
        <v>17</v>
      </c>
      <c r="AT249" t="s">
        <v>349</v>
      </c>
      <c r="AU249" t="s">
        <v>367</v>
      </c>
      <c r="AV249" t="s">
        <v>367</v>
      </c>
      <c r="AW249" t="s">
        <v>367</v>
      </c>
      <c r="AX249" t="s">
        <v>367</v>
      </c>
      <c r="AY249" t="s">
        <v>367</v>
      </c>
      <c r="AZ249" t="s">
        <v>367</v>
      </c>
      <c r="BA249" t="s">
        <v>367</v>
      </c>
      <c r="BB249" t="s">
        <v>367</v>
      </c>
      <c r="BC249">
        <v>8.5</v>
      </c>
    </row>
    <row r="250" spans="1:55" ht="15" customHeight="1" x14ac:dyDescent="0.35">
      <c r="A250" t="s">
        <v>995</v>
      </c>
      <c r="B250" t="s">
        <v>1664</v>
      </c>
      <c r="C250" t="s">
        <v>283</v>
      </c>
      <c r="D250" t="s">
        <v>49</v>
      </c>
      <c r="E250">
        <v>2020</v>
      </c>
      <c r="F250" t="s">
        <v>284</v>
      </c>
      <c r="G250" t="s">
        <v>335</v>
      </c>
      <c r="H250" t="s">
        <v>335</v>
      </c>
      <c r="I250" t="s">
        <v>335</v>
      </c>
      <c r="J250" t="s">
        <v>339</v>
      </c>
      <c r="K250" t="s">
        <v>335</v>
      </c>
      <c r="L250" t="s">
        <v>335</v>
      </c>
      <c r="M250" t="s">
        <v>352</v>
      </c>
      <c r="N250" t="s">
        <v>352</v>
      </c>
      <c r="P250" t="s">
        <v>518</v>
      </c>
      <c r="Q250" t="s">
        <v>519</v>
      </c>
      <c r="R250" t="s">
        <v>520</v>
      </c>
      <c r="S250" t="s">
        <v>516</v>
      </c>
      <c r="T250" t="s">
        <v>1235</v>
      </c>
      <c r="U250" t="s">
        <v>1239</v>
      </c>
      <c r="V250">
        <v>48.0503</v>
      </c>
      <c r="W250">
        <v>15.5524</v>
      </c>
      <c r="X250">
        <v>689</v>
      </c>
      <c r="Y250" t="s">
        <v>910</v>
      </c>
      <c r="Z250" t="s">
        <v>1351</v>
      </c>
      <c r="AA250" t="s">
        <v>1247</v>
      </c>
      <c r="AB250" t="s">
        <v>1253</v>
      </c>
      <c r="AC250" t="s">
        <v>366</v>
      </c>
      <c r="AD250" t="s">
        <v>433</v>
      </c>
      <c r="AE250" t="s">
        <v>364</v>
      </c>
      <c r="AF250">
        <v>-0.432</v>
      </c>
      <c r="AG250">
        <v>0.219</v>
      </c>
      <c r="AH250" t="s">
        <v>346</v>
      </c>
      <c r="AI250" t="s">
        <v>346</v>
      </c>
      <c r="AJ250" t="s">
        <v>592</v>
      </c>
      <c r="AK250">
        <v>348</v>
      </c>
      <c r="AL250" t="s">
        <v>377</v>
      </c>
      <c r="AM250" t="s">
        <v>347</v>
      </c>
      <c r="AN250" t="s">
        <v>410</v>
      </c>
      <c r="AO250" t="s">
        <v>367</v>
      </c>
      <c r="AP250" t="s">
        <v>411</v>
      </c>
      <c r="AQ250" t="s">
        <v>368</v>
      </c>
      <c r="AR250" t="s">
        <v>369</v>
      </c>
      <c r="AS250">
        <v>17</v>
      </c>
      <c r="AT250" t="s">
        <v>349</v>
      </c>
      <c r="AU250" t="s">
        <v>367</v>
      </c>
      <c r="AV250" t="s">
        <v>367</v>
      </c>
      <c r="AW250" t="s">
        <v>367</v>
      </c>
      <c r="AX250" t="s">
        <v>367</v>
      </c>
      <c r="AY250" t="s">
        <v>367</v>
      </c>
      <c r="AZ250" t="s">
        <v>367</v>
      </c>
      <c r="BA250" t="s">
        <v>367</v>
      </c>
      <c r="BB250" t="s">
        <v>367</v>
      </c>
      <c r="BC250">
        <v>8.5</v>
      </c>
    </row>
    <row r="251" spans="1:55" ht="15" customHeight="1" x14ac:dyDescent="0.35">
      <c r="A251" t="s">
        <v>995</v>
      </c>
      <c r="B251" t="s">
        <v>1664</v>
      </c>
      <c r="C251" t="s">
        <v>283</v>
      </c>
      <c r="D251" t="s">
        <v>49</v>
      </c>
      <c r="E251">
        <v>2020</v>
      </c>
      <c r="F251" t="s">
        <v>284</v>
      </c>
      <c r="G251" t="s">
        <v>335</v>
      </c>
      <c r="H251" t="s">
        <v>335</v>
      </c>
      <c r="I251" t="s">
        <v>335</v>
      </c>
      <c r="J251" t="s">
        <v>339</v>
      </c>
      <c r="K251" t="s">
        <v>335</v>
      </c>
      <c r="L251" t="s">
        <v>335</v>
      </c>
      <c r="M251" t="s">
        <v>352</v>
      </c>
      <c r="N251" t="s">
        <v>352</v>
      </c>
      <c r="P251" t="s">
        <v>518</v>
      </c>
      <c r="Q251" t="s">
        <v>519</v>
      </c>
      <c r="R251" t="s">
        <v>520</v>
      </c>
      <c r="S251" t="s">
        <v>516</v>
      </c>
      <c r="T251" t="s">
        <v>1235</v>
      </c>
      <c r="U251" t="s">
        <v>1239</v>
      </c>
      <c r="V251">
        <v>48.0503</v>
      </c>
      <c r="W251">
        <v>15.5524</v>
      </c>
      <c r="X251">
        <v>689</v>
      </c>
      <c r="Y251" t="s">
        <v>910</v>
      </c>
      <c r="Z251" t="s">
        <v>909</v>
      </c>
      <c r="AA251" t="s">
        <v>1247</v>
      </c>
      <c r="AB251" t="s">
        <v>400</v>
      </c>
      <c r="AC251" t="s">
        <v>366</v>
      </c>
      <c r="AD251" t="s">
        <v>433</v>
      </c>
      <c r="AE251" t="s">
        <v>364</v>
      </c>
      <c r="AF251">
        <v>-0.04</v>
      </c>
      <c r="AG251" t="s">
        <v>346</v>
      </c>
      <c r="AH251">
        <v>-4.7E-2</v>
      </c>
      <c r="AI251">
        <v>-2.3E-2</v>
      </c>
      <c r="AJ251" t="s">
        <v>592</v>
      </c>
      <c r="AK251">
        <v>350</v>
      </c>
      <c r="AL251" t="s">
        <v>377</v>
      </c>
      <c r="AM251" t="s">
        <v>347</v>
      </c>
      <c r="AN251" t="s">
        <v>410</v>
      </c>
      <c r="AO251" t="s">
        <v>367</v>
      </c>
      <c r="AP251" t="s">
        <v>411</v>
      </c>
      <c r="AQ251" t="s">
        <v>368</v>
      </c>
      <c r="AR251" t="s">
        <v>369</v>
      </c>
      <c r="AS251">
        <v>17</v>
      </c>
      <c r="AT251" t="s">
        <v>349</v>
      </c>
      <c r="AU251" t="s">
        <v>367</v>
      </c>
      <c r="AV251" t="s">
        <v>367</v>
      </c>
      <c r="AW251" t="s">
        <v>367</v>
      </c>
      <c r="AX251" t="s">
        <v>367</v>
      </c>
      <c r="AY251" t="s">
        <v>367</v>
      </c>
      <c r="AZ251" t="s">
        <v>367</v>
      </c>
      <c r="BA251" t="s">
        <v>367</v>
      </c>
      <c r="BB251" t="s">
        <v>367</v>
      </c>
      <c r="BC251">
        <v>8.5</v>
      </c>
    </row>
    <row r="252" spans="1:55" ht="15" customHeight="1" x14ac:dyDescent="0.35">
      <c r="A252" t="s">
        <v>995</v>
      </c>
      <c r="B252" t="s">
        <v>1665</v>
      </c>
      <c r="C252" t="s">
        <v>1062</v>
      </c>
      <c r="D252" t="s">
        <v>285</v>
      </c>
      <c r="E252">
        <v>2022</v>
      </c>
      <c r="F252" t="s">
        <v>1063</v>
      </c>
      <c r="G252" t="s">
        <v>335</v>
      </c>
      <c r="H252" t="s">
        <v>335</v>
      </c>
      <c r="I252" t="s">
        <v>335</v>
      </c>
      <c r="J252" t="s">
        <v>339</v>
      </c>
      <c r="K252" t="s">
        <v>335</v>
      </c>
      <c r="L252" t="s">
        <v>335</v>
      </c>
      <c r="M252" t="s">
        <v>352</v>
      </c>
      <c r="N252" t="s">
        <v>352</v>
      </c>
      <c r="P252" t="s">
        <v>395</v>
      </c>
      <c r="Q252" t="s">
        <v>1168</v>
      </c>
      <c r="R252" t="s">
        <v>1169</v>
      </c>
      <c r="S252" t="s">
        <v>1160</v>
      </c>
      <c r="T252" t="s">
        <v>1235</v>
      </c>
      <c r="U252" t="s">
        <v>639</v>
      </c>
      <c r="V252">
        <v>43.29</v>
      </c>
      <c r="W252">
        <v>-119.43</v>
      </c>
      <c r="X252">
        <v>1400</v>
      </c>
      <c r="Y252" t="s">
        <v>1162</v>
      </c>
      <c r="AA252" t="s">
        <v>1247</v>
      </c>
      <c r="AB252" t="s">
        <v>400</v>
      </c>
      <c r="AC252" t="s">
        <v>366</v>
      </c>
      <c r="AD252" t="s">
        <v>1166</v>
      </c>
      <c r="AE252" t="s">
        <v>354</v>
      </c>
      <c r="AF252">
        <v>0.02</v>
      </c>
      <c r="AG252" t="s">
        <v>346</v>
      </c>
      <c r="AH252">
        <v>-0.03</v>
      </c>
      <c r="AI252">
        <v>7.0000000000000007E-2</v>
      </c>
      <c r="AJ252" t="s">
        <v>592</v>
      </c>
      <c r="AK252">
        <v>97</v>
      </c>
      <c r="AL252" t="s">
        <v>377</v>
      </c>
      <c r="AM252" t="s">
        <v>347</v>
      </c>
      <c r="AN252" t="s">
        <v>348</v>
      </c>
      <c r="AO252" t="s">
        <v>367</v>
      </c>
      <c r="AP252" t="s">
        <v>386</v>
      </c>
      <c r="AQ252" t="s">
        <v>368</v>
      </c>
      <c r="AR252" t="s">
        <v>369</v>
      </c>
      <c r="AS252">
        <v>11</v>
      </c>
      <c r="AT252" t="s">
        <v>349</v>
      </c>
      <c r="AU252" t="s">
        <v>349</v>
      </c>
      <c r="AV252" t="s">
        <v>367</v>
      </c>
      <c r="AW252" t="s">
        <v>367</v>
      </c>
      <c r="AX252" t="s">
        <v>367</v>
      </c>
      <c r="AY252" t="s">
        <v>367</v>
      </c>
      <c r="AZ252" t="s">
        <v>367</v>
      </c>
      <c r="BA252" t="s">
        <v>367</v>
      </c>
      <c r="BB252" t="s">
        <v>367</v>
      </c>
      <c r="BC252">
        <v>3</v>
      </c>
    </row>
    <row r="253" spans="1:55" ht="15" customHeight="1" x14ac:dyDescent="0.35">
      <c r="A253" t="s">
        <v>995</v>
      </c>
      <c r="B253" t="s">
        <v>1665</v>
      </c>
      <c r="C253" t="s">
        <v>1062</v>
      </c>
      <c r="D253" t="s">
        <v>285</v>
      </c>
      <c r="E253">
        <v>2022</v>
      </c>
      <c r="F253" t="s">
        <v>1063</v>
      </c>
      <c r="G253" t="s">
        <v>335</v>
      </c>
      <c r="H253" t="s">
        <v>335</v>
      </c>
      <c r="I253" t="s">
        <v>335</v>
      </c>
      <c r="J253" t="s">
        <v>339</v>
      </c>
      <c r="K253" t="s">
        <v>335</v>
      </c>
      <c r="L253" t="s">
        <v>335</v>
      </c>
      <c r="M253" t="s">
        <v>352</v>
      </c>
      <c r="N253" t="s">
        <v>352</v>
      </c>
      <c r="P253" t="s">
        <v>395</v>
      </c>
      <c r="Q253" t="s">
        <v>1170</v>
      </c>
      <c r="R253" t="s">
        <v>1171</v>
      </c>
      <c r="S253" t="s">
        <v>1161</v>
      </c>
      <c r="T253" t="s">
        <v>1235</v>
      </c>
      <c r="U253" t="s">
        <v>639</v>
      </c>
      <c r="V253">
        <v>43.29</v>
      </c>
      <c r="W253">
        <v>-119.43</v>
      </c>
      <c r="X253">
        <v>1400</v>
      </c>
      <c r="Y253" t="s">
        <v>1163</v>
      </c>
      <c r="AA253" t="s">
        <v>1247</v>
      </c>
      <c r="AB253" t="s">
        <v>400</v>
      </c>
      <c r="AC253" t="s">
        <v>366</v>
      </c>
      <c r="AD253" t="s">
        <v>1167</v>
      </c>
      <c r="AE253" t="s">
        <v>791</v>
      </c>
      <c r="AF253" t="s">
        <v>1165</v>
      </c>
      <c r="AG253" t="s">
        <v>1164</v>
      </c>
      <c r="AJ253" t="s">
        <v>592</v>
      </c>
      <c r="AK253">
        <v>132</v>
      </c>
      <c r="AL253" t="s">
        <v>377</v>
      </c>
      <c r="AM253" t="s">
        <v>347</v>
      </c>
      <c r="AN253" t="s">
        <v>348</v>
      </c>
      <c r="AO253" t="s">
        <v>367</v>
      </c>
      <c r="AP253" t="s">
        <v>386</v>
      </c>
      <c r="AQ253" t="s">
        <v>368</v>
      </c>
      <c r="AR253" t="s">
        <v>369</v>
      </c>
      <c r="AS253">
        <v>19</v>
      </c>
      <c r="AT253" t="s">
        <v>349</v>
      </c>
      <c r="AU253" t="s">
        <v>349</v>
      </c>
      <c r="AV253" t="s">
        <v>349</v>
      </c>
      <c r="AW253" t="s">
        <v>367</v>
      </c>
      <c r="AX253" t="s">
        <v>367</v>
      </c>
      <c r="AY253" t="s">
        <v>367</v>
      </c>
      <c r="AZ253" t="s">
        <v>367</v>
      </c>
      <c r="BA253" t="s">
        <v>367</v>
      </c>
      <c r="BB253" t="s">
        <v>367</v>
      </c>
      <c r="BC253">
        <v>3.5</v>
      </c>
    </row>
    <row r="254" spans="1:55" ht="15" customHeight="1" x14ac:dyDescent="0.35">
      <c r="A254" t="s">
        <v>1065</v>
      </c>
      <c r="B254" t="s">
        <v>1666</v>
      </c>
      <c r="C254" t="s">
        <v>1098</v>
      </c>
      <c r="D254" t="s">
        <v>1088</v>
      </c>
      <c r="E254">
        <v>2012</v>
      </c>
      <c r="G254" t="s">
        <v>335</v>
      </c>
      <c r="H254" t="s">
        <v>335</v>
      </c>
      <c r="I254" t="s">
        <v>335</v>
      </c>
      <c r="J254" t="s">
        <v>339</v>
      </c>
      <c r="K254" t="s">
        <v>335</v>
      </c>
      <c r="L254" t="s">
        <v>335</v>
      </c>
      <c r="M254" t="s">
        <v>352</v>
      </c>
      <c r="N254" t="s">
        <v>352</v>
      </c>
      <c r="P254" t="s">
        <v>427</v>
      </c>
      <c r="Q254" t="s">
        <v>428</v>
      </c>
      <c r="R254" t="s">
        <v>570</v>
      </c>
      <c r="S254" t="s">
        <v>568</v>
      </c>
      <c r="T254" t="s">
        <v>1249</v>
      </c>
      <c r="U254" t="s">
        <v>471</v>
      </c>
      <c r="V254">
        <v>38.276139999999998</v>
      </c>
      <c r="W254">
        <v>-98.641492</v>
      </c>
      <c r="X254">
        <v>558</v>
      </c>
      <c r="Y254" t="s">
        <v>1143</v>
      </c>
      <c r="Z254" t="s">
        <v>609</v>
      </c>
      <c r="AA254" t="s">
        <v>1247</v>
      </c>
      <c r="AB254" t="s">
        <v>400</v>
      </c>
      <c r="AC254" t="s">
        <v>366</v>
      </c>
      <c r="AD254" t="s">
        <v>433</v>
      </c>
      <c r="AE254" t="s">
        <v>364</v>
      </c>
      <c r="AF254">
        <v>-0.5</v>
      </c>
      <c r="AG254">
        <v>0.05</v>
      </c>
      <c r="AH254" t="s">
        <v>346</v>
      </c>
      <c r="AI254" t="s">
        <v>346</v>
      </c>
      <c r="AJ254" t="s">
        <v>592</v>
      </c>
      <c r="AK254">
        <v>363</v>
      </c>
      <c r="AL254" t="s">
        <v>377</v>
      </c>
      <c r="AM254" t="s">
        <v>347</v>
      </c>
      <c r="AN254" t="s">
        <v>348</v>
      </c>
      <c r="AO254" t="s">
        <v>349</v>
      </c>
      <c r="AP254" t="s">
        <v>355</v>
      </c>
      <c r="AQ254" t="s">
        <v>351</v>
      </c>
      <c r="AR254" t="s">
        <v>369</v>
      </c>
      <c r="AS254">
        <v>46</v>
      </c>
      <c r="AT254" t="s">
        <v>349</v>
      </c>
      <c r="AU254" t="s">
        <v>367</v>
      </c>
      <c r="AV254" t="s">
        <v>367</v>
      </c>
      <c r="AW254" t="s">
        <v>367</v>
      </c>
      <c r="AX254" t="s">
        <v>367</v>
      </c>
      <c r="AY254" t="s">
        <v>367</v>
      </c>
      <c r="AZ254" t="s">
        <v>367</v>
      </c>
      <c r="BA254" t="s">
        <v>367</v>
      </c>
      <c r="BB254" t="s">
        <v>367</v>
      </c>
      <c r="BC254">
        <v>3</v>
      </c>
    </row>
    <row r="255" spans="1:55" ht="15" customHeight="1" x14ac:dyDescent="0.35">
      <c r="A255" t="s">
        <v>995</v>
      </c>
      <c r="B255" t="s">
        <v>1521</v>
      </c>
      <c r="C255" t="s">
        <v>1158</v>
      </c>
      <c r="D255" t="s">
        <v>49</v>
      </c>
      <c r="E255">
        <v>2015</v>
      </c>
      <c r="F255" s="6" t="s">
        <v>1159</v>
      </c>
      <c r="G255" t="s">
        <v>335</v>
      </c>
      <c r="H255" t="s">
        <v>335</v>
      </c>
      <c r="I255" t="s">
        <v>335</v>
      </c>
      <c r="J255" t="s">
        <v>339</v>
      </c>
      <c r="K255" t="s">
        <v>335</v>
      </c>
      <c r="L255" t="s">
        <v>335</v>
      </c>
      <c r="M255" t="s">
        <v>352</v>
      </c>
      <c r="N255" t="s">
        <v>352</v>
      </c>
      <c r="P255" t="s">
        <v>756</v>
      </c>
      <c r="Q255" t="s">
        <v>911</v>
      </c>
      <c r="R255" t="s">
        <v>912</v>
      </c>
      <c r="S255" t="s">
        <v>913</v>
      </c>
      <c r="T255" t="s">
        <v>1235</v>
      </c>
      <c r="U255" t="s">
        <v>1239</v>
      </c>
      <c r="V255">
        <v>43.945203999999997</v>
      </c>
      <c r="W255">
        <v>-71.699423999999993</v>
      </c>
      <c r="X255">
        <v>495</v>
      </c>
      <c r="Y255" t="s">
        <v>914</v>
      </c>
      <c r="AA255" t="s">
        <v>1236</v>
      </c>
      <c r="AB255" t="s">
        <v>915</v>
      </c>
      <c r="AC255" t="s">
        <v>1237</v>
      </c>
      <c r="AD255" t="s">
        <v>961</v>
      </c>
      <c r="AE255" t="s">
        <v>354</v>
      </c>
      <c r="AF255">
        <v>3.9E-2</v>
      </c>
      <c r="AG255">
        <v>1.4E-2</v>
      </c>
      <c r="AH255" t="s">
        <v>346</v>
      </c>
      <c r="AI255" t="s">
        <v>346</v>
      </c>
      <c r="AJ255" t="s">
        <v>592</v>
      </c>
      <c r="AK255">
        <v>13</v>
      </c>
      <c r="AL255" t="s">
        <v>807</v>
      </c>
      <c r="AM255" t="s">
        <v>339</v>
      </c>
      <c r="AN255" t="s">
        <v>348</v>
      </c>
      <c r="AO255" t="s">
        <v>367</v>
      </c>
      <c r="AP255" t="s">
        <v>386</v>
      </c>
      <c r="AQ255" t="s">
        <v>368</v>
      </c>
      <c r="AR255" t="s">
        <v>369</v>
      </c>
      <c r="AS255">
        <v>8</v>
      </c>
      <c r="AT255" t="s">
        <v>349</v>
      </c>
      <c r="AU255" t="s">
        <v>367</v>
      </c>
      <c r="AV255" t="s">
        <v>349</v>
      </c>
      <c r="AW255" t="s">
        <v>367</v>
      </c>
      <c r="AX255" t="s">
        <v>367</v>
      </c>
      <c r="AY255" t="s">
        <v>367</v>
      </c>
      <c r="AZ255" t="s">
        <v>367</v>
      </c>
      <c r="BA255" t="s">
        <v>367</v>
      </c>
      <c r="BB255" t="s">
        <v>367</v>
      </c>
      <c r="BC255">
        <v>4</v>
      </c>
    </row>
    <row r="256" spans="1:55" ht="15" customHeight="1" x14ac:dyDescent="0.35">
      <c r="A256" t="s">
        <v>995</v>
      </c>
      <c r="B256" t="s">
        <v>1521</v>
      </c>
      <c r="C256" t="s">
        <v>1158</v>
      </c>
      <c r="D256" t="s">
        <v>49</v>
      </c>
      <c r="E256">
        <v>2015</v>
      </c>
      <c r="F256" s="6" t="s">
        <v>1159</v>
      </c>
      <c r="G256" t="s">
        <v>335</v>
      </c>
      <c r="H256" t="s">
        <v>335</v>
      </c>
      <c r="I256" t="s">
        <v>335</v>
      </c>
      <c r="J256" t="s">
        <v>339</v>
      </c>
      <c r="K256" t="s">
        <v>335</v>
      </c>
      <c r="L256" t="s">
        <v>335</v>
      </c>
      <c r="M256" t="s">
        <v>352</v>
      </c>
      <c r="N256" t="s">
        <v>352</v>
      </c>
      <c r="P256" t="s">
        <v>756</v>
      </c>
      <c r="Q256" t="s">
        <v>911</v>
      </c>
      <c r="R256" t="s">
        <v>912</v>
      </c>
      <c r="S256" t="s">
        <v>913</v>
      </c>
      <c r="T256" t="s">
        <v>1235</v>
      </c>
      <c r="U256" t="s">
        <v>1239</v>
      </c>
      <c r="V256">
        <v>43.945203999999997</v>
      </c>
      <c r="W256">
        <v>-71.699423999999993</v>
      </c>
      <c r="X256">
        <v>495</v>
      </c>
      <c r="Y256" t="s">
        <v>914</v>
      </c>
      <c r="AA256" t="s">
        <v>1236</v>
      </c>
      <c r="AB256" t="s">
        <v>915</v>
      </c>
      <c r="AC256" t="s">
        <v>1237</v>
      </c>
      <c r="AD256" t="s">
        <v>1352</v>
      </c>
      <c r="AE256" t="s">
        <v>345</v>
      </c>
      <c r="AF256">
        <v>1.4E-2</v>
      </c>
      <c r="AG256">
        <v>1.4999999999999999E-2</v>
      </c>
      <c r="AH256" t="s">
        <v>346</v>
      </c>
      <c r="AI256" t="s">
        <v>346</v>
      </c>
      <c r="AJ256" t="s">
        <v>592</v>
      </c>
      <c r="AK256">
        <v>13</v>
      </c>
      <c r="AL256" t="s">
        <v>807</v>
      </c>
      <c r="AM256" t="s">
        <v>452</v>
      </c>
      <c r="AN256" t="s">
        <v>348</v>
      </c>
      <c r="AO256" t="s">
        <v>367</v>
      </c>
      <c r="AP256" t="s">
        <v>386</v>
      </c>
      <c r="AQ256" t="s">
        <v>368</v>
      </c>
      <c r="AR256" t="s">
        <v>369</v>
      </c>
      <c r="AS256">
        <v>8</v>
      </c>
      <c r="AT256" t="s">
        <v>349</v>
      </c>
      <c r="AU256" t="s">
        <v>367</v>
      </c>
      <c r="AV256" t="s">
        <v>349</v>
      </c>
      <c r="AW256" t="s">
        <v>367</v>
      </c>
      <c r="AX256" t="s">
        <v>367</v>
      </c>
      <c r="AY256" t="s">
        <v>367</v>
      </c>
      <c r="AZ256" t="s">
        <v>367</v>
      </c>
      <c r="BA256" t="s">
        <v>367</v>
      </c>
      <c r="BB256" t="s">
        <v>367</v>
      </c>
      <c r="BC256">
        <v>4</v>
      </c>
    </row>
    <row r="257" spans="1:55" ht="15" customHeight="1" x14ac:dyDescent="0.35">
      <c r="A257" t="s">
        <v>995</v>
      </c>
      <c r="B257" t="s">
        <v>1667</v>
      </c>
      <c r="C257" t="s">
        <v>288</v>
      </c>
      <c r="D257" t="s">
        <v>17</v>
      </c>
      <c r="E257">
        <v>2015</v>
      </c>
      <c r="F257" t="s">
        <v>289</v>
      </c>
      <c r="G257" t="s">
        <v>335</v>
      </c>
      <c r="H257" t="s">
        <v>335</v>
      </c>
      <c r="I257" t="s">
        <v>335</v>
      </c>
      <c r="J257" t="s">
        <v>339</v>
      </c>
      <c r="K257" t="s">
        <v>335</v>
      </c>
      <c r="L257" t="s">
        <v>335</v>
      </c>
      <c r="M257" t="s">
        <v>352</v>
      </c>
      <c r="N257" t="s">
        <v>352</v>
      </c>
      <c r="P257" t="s">
        <v>756</v>
      </c>
      <c r="Q257" t="s">
        <v>519</v>
      </c>
      <c r="R257" t="s">
        <v>917</v>
      </c>
      <c r="S257" t="s">
        <v>916</v>
      </c>
      <c r="T257" t="s">
        <v>1235</v>
      </c>
      <c r="U257" t="s">
        <v>665</v>
      </c>
      <c r="V257">
        <v>24.3</v>
      </c>
      <c r="W257">
        <v>121.06</v>
      </c>
      <c r="X257">
        <v>2005</v>
      </c>
      <c r="Y257" t="s">
        <v>706</v>
      </c>
      <c r="AA257" t="s">
        <v>1247</v>
      </c>
      <c r="AB257" t="s">
        <v>400</v>
      </c>
      <c r="AC257" t="s">
        <v>366</v>
      </c>
      <c r="AD257" t="s">
        <v>919</v>
      </c>
      <c r="AE257" t="s">
        <v>364</v>
      </c>
      <c r="AF257">
        <v>-0.98899999999999999</v>
      </c>
      <c r="AG257">
        <v>0.46700000000000003</v>
      </c>
      <c r="AH257" t="s">
        <v>346</v>
      </c>
      <c r="AI257" t="s">
        <v>346</v>
      </c>
      <c r="AJ257" t="s">
        <v>592</v>
      </c>
      <c r="AK257">
        <v>73</v>
      </c>
      <c r="AL257" t="s">
        <v>377</v>
      </c>
      <c r="AM257" t="s">
        <v>452</v>
      </c>
      <c r="AN257" t="s">
        <v>410</v>
      </c>
      <c r="AO257" t="s">
        <v>367</v>
      </c>
      <c r="AP257" t="s">
        <v>411</v>
      </c>
      <c r="AQ257" t="s">
        <v>368</v>
      </c>
      <c r="AR257" t="s">
        <v>369</v>
      </c>
      <c r="AS257">
        <v>15</v>
      </c>
      <c r="AT257" t="s">
        <v>349</v>
      </c>
      <c r="AU257" t="s">
        <v>349</v>
      </c>
      <c r="AV257" t="s">
        <v>349</v>
      </c>
      <c r="AW257" t="s">
        <v>367</v>
      </c>
      <c r="AX257" t="s">
        <v>367</v>
      </c>
      <c r="AY257" t="s">
        <v>367</v>
      </c>
      <c r="AZ257" t="s">
        <v>367</v>
      </c>
      <c r="BA257" t="s">
        <v>367</v>
      </c>
      <c r="BB257" t="s">
        <v>367</v>
      </c>
      <c r="BC257">
        <v>6</v>
      </c>
    </row>
    <row r="258" spans="1:55" ht="15" customHeight="1" x14ac:dyDescent="0.35">
      <c r="A258" t="s">
        <v>995</v>
      </c>
      <c r="B258" t="s">
        <v>1667</v>
      </c>
      <c r="C258" t="s">
        <v>288</v>
      </c>
      <c r="D258" t="s">
        <v>17</v>
      </c>
      <c r="E258">
        <v>2015</v>
      </c>
      <c r="F258" t="s">
        <v>289</v>
      </c>
      <c r="G258" t="s">
        <v>335</v>
      </c>
      <c r="H258" t="s">
        <v>335</v>
      </c>
      <c r="I258" t="s">
        <v>335</v>
      </c>
      <c r="J258" t="s">
        <v>339</v>
      </c>
      <c r="K258" t="s">
        <v>335</v>
      </c>
      <c r="L258" t="s">
        <v>335</v>
      </c>
      <c r="M258" t="s">
        <v>352</v>
      </c>
      <c r="N258" t="s">
        <v>352</v>
      </c>
      <c r="P258" t="s">
        <v>921</v>
      </c>
      <c r="Q258" t="s">
        <v>922</v>
      </c>
      <c r="R258" t="s">
        <v>1354</v>
      </c>
      <c r="S258" t="s">
        <v>920</v>
      </c>
      <c r="T258" t="s">
        <v>1235</v>
      </c>
      <c r="U258" t="s">
        <v>665</v>
      </c>
      <c r="V258">
        <v>24.3</v>
      </c>
      <c r="W258">
        <v>121.06</v>
      </c>
      <c r="X258">
        <v>2005</v>
      </c>
      <c r="Y258" t="s">
        <v>706</v>
      </c>
      <c r="Z258" t="s">
        <v>919</v>
      </c>
      <c r="AA258" t="s">
        <v>1247</v>
      </c>
      <c r="AB258" t="s">
        <v>400</v>
      </c>
      <c r="AC258" t="s">
        <v>366</v>
      </c>
      <c r="AD258" t="s">
        <v>1288</v>
      </c>
      <c r="AE258" t="s">
        <v>364</v>
      </c>
      <c r="AF258">
        <v>-0.88</v>
      </c>
      <c r="AG258">
        <v>0.41899999999999998</v>
      </c>
      <c r="AH258" t="s">
        <v>346</v>
      </c>
      <c r="AI258" t="s">
        <v>346</v>
      </c>
      <c r="AJ258" t="s">
        <v>592</v>
      </c>
      <c r="AK258">
        <v>105</v>
      </c>
      <c r="AL258" t="s">
        <v>377</v>
      </c>
      <c r="AM258" t="s">
        <v>452</v>
      </c>
      <c r="AN258" t="s">
        <v>348</v>
      </c>
      <c r="AO258" t="s">
        <v>367</v>
      </c>
      <c r="AP258" t="s">
        <v>386</v>
      </c>
      <c r="AQ258" t="s">
        <v>368</v>
      </c>
      <c r="AR258" t="s">
        <v>369</v>
      </c>
      <c r="AS258">
        <v>5</v>
      </c>
      <c r="AT258" t="s">
        <v>349</v>
      </c>
      <c r="AU258" t="s">
        <v>367</v>
      </c>
      <c r="AV258" t="s">
        <v>367</v>
      </c>
      <c r="AW258" t="s">
        <v>367</v>
      </c>
      <c r="AX258" t="s">
        <v>367</v>
      </c>
      <c r="AY258" t="s">
        <v>367</v>
      </c>
      <c r="AZ258" t="s">
        <v>367</v>
      </c>
      <c r="BA258" t="s">
        <v>367</v>
      </c>
      <c r="BB258" t="s">
        <v>367</v>
      </c>
      <c r="BC258">
        <v>4</v>
      </c>
    </row>
    <row r="259" spans="1:55" ht="15" customHeight="1" x14ac:dyDescent="0.35">
      <c r="A259" t="s">
        <v>995</v>
      </c>
      <c r="B259" t="s">
        <v>1667</v>
      </c>
      <c r="C259" t="s">
        <v>286</v>
      </c>
      <c r="D259" t="s">
        <v>47</v>
      </c>
      <c r="E259">
        <v>2020</v>
      </c>
      <c r="F259" t="s">
        <v>287</v>
      </c>
      <c r="G259" t="s">
        <v>335</v>
      </c>
      <c r="H259" t="s">
        <v>335</v>
      </c>
      <c r="I259" t="s">
        <v>335</v>
      </c>
      <c r="J259" t="s">
        <v>339</v>
      </c>
      <c r="K259" t="s">
        <v>335</v>
      </c>
      <c r="L259" t="s">
        <v>335</v>
      </c>
      <c r="M259" t="s">
        <v>352</v>
      </c>
      <c r="N259" t="s">
        <v>352</v>
      </c>
      <c r="P259" t="s">
        <v>756</v>
      </c>
      <c r="Q259" t="s">
        <v>519</v>
      </c>
      <c r="R259" t="s">
        <v>917</v>
      </c>
      <c r="S259" t="s">
        <v>916</v>
      </c>
      <c r="T259" t="s">
        <v>1235</v>
      </c>
      <c r="U259" t="s">
        <v>665</v>
      </c>
      <c r="V259">
        <v>24.5</v>
      </c>
      <c r="W259">
        <v>121.1</v>
      </c>
      <c r="X259">
        <v>2005</v>
      </c>
      <c r="Y259" t="s">
        <v>918</v>
      </c>
      <c r="Z259" t="s">
        <v>1353</v>
      </c>
      <c r="AA259" t="s">
        <v>1236</v>
      </c>
      <c r="AB259" t="s">
        <v>384</v>
      </c>
      <c r="AC259" t="s">
        <v>1241</v>
      </c>
      <c r="AD259" t="s">
        <v>1258</v>
      </c>
      <c r="AE259" t="s">
        <v>364</v>
      </c>
      <c r="AF259">
        <v>-1E-3</v>
      </c>
      <c r="AG259">
        <v>2.0000000000000001E-4</v>
      </c>
      <c r="AH259" t="s">
        <v>346</v>
      </c>
      <c r="AI259" t="s">
        <v>346</v>
      </c>
      <c r="AJ259" t="s">
        <v>592</v>
      </c>
      <c r="AK259">
        <v>215</v>
      </c>
      <c r="AL259" t="s">
        <v>377</v>
      </c>
      <c r="AM259" t="s">
        <v>452</v>
      </c>
      <c r="AN259" t="s">
        <v>410</v>
      </c>
      <c r="AO259" t="s">
        <v>367</v>
      </c>
      <c r="AP259" t="s">
        <v>411</v>
      </c>
      <c r="AQ259" t="s">
        <v>368</v>
      </c>
      <c r="AR259" t="s">
        <v>369</v>
      </c>
      <c r="AS259">
        <v>15</v>
      </c>
      <c r="AT259" t="s">
        <v>349</v>
      </c>
      <c r="AU259" t="s">
        <v>349</v>
      </c>
      <c r="AV259" t="s">
        <v>349</v>
      </c>
      <c r="AW259" t="s">
        <v>367</v>
      </c>
      <c r="AX259" t="s">
        <v>367</v>
      </c>
      <c r="AY259" t="s">
        <v>367</v>
      </c>
      <c r="AZ259" t="s">
        <v>367</v>
      </c>
      <c r="BA259" t="s">
        <v>367</v>
      </c>
      <c r="BB259" t="s">
        <v>367</v>
      </c>
      <c r="BC259">
        <v>6</v>
      </c>
    </row>
    <row r="260" spans="1:55" ht="15" customHeight="1" x14ac:dyDescent="0.35">
      <c r="A260" t="s">
        <v>995</v>
      </c>
      <c r="B260" t="s">
        <v>1668</v>
      </c>
      <c r="C260" t="s">
        <v>290</v>
      </c>
      <c r="D260" t="s">
        <v>60</v>
      </c>
      <c r="E260">
        <v>1996</v>
      </c>
      <c r="F260" t="s">
        <v>291</v>
      </c>
      <c r="G260" t="s">
        <v>335</v>
      </c>
      <c r="H260" t="s">
        <v>335</v>
      </c>
      <c r="I260" t="s">
        <v>335</v>
      </c>
      <c r="J260" t="s">
        <v>339</v>
      </c>
      <c r="K260" t="s">
        <v>335</v>
      </c>
      <c r="L260" t="s">
        <v>335</v>
      </c>
      <c r="M260" t="s">
        <v>352</v>
      </c>
      <c r="N260" t="s">
        <v>335</v>
      </c>
      <c r="P260" t="s">
        <v>587</v>
      </c>
      <c r="Q260" t="s">
        <v>584</v>
      </c>
      <c r="R260" t="s">
        <v>596</v>
      </c>
      <c r="S260" t="s">
        <v>597</v>
      </c>
      <c r="T260" t="s">
        <v>1235</v>
      </c>
      <c r="U260" t="s">
        <v>1280</v>
      </c>
      <c r="V260">
        <v>62.37</v>
      </c>
      <c r="W260">
        <v>26.2</v>
      </c>
      <c r="X260">
        <v>118</v>
      </c>
      <c r="Y260" t="s">
        <v>721</v>
      </c>
      <c r="AA260" t="s">
        <v>393</v>
      </c>
      <c r="AB260" t="s">
        <v>393</v>
      </c>
      <c r="AC260" t="s">
        <v>366</v>
      </c>
      <c r="AD260" t="s">
        <v>1041</v>
      </c>
      <c r="AE260" t="s">
        <v>364</v>
      </c>
      <c r="AF260">
        <v>13.2</v>
      </c>
      <c r="AG260" t="s">
        <v>346</v>
      </c>
      <c r="AH260" t="s">
        <v>346</v>
      </c>
      <c r="AI260" t="s">
        <v>346</v>
      </c>
      <c r="AJ260" t="s">
        <v>578</v>
      </c>
      <c r="AK260">
        <v>79</v>
      </c>
      <c r="AL260" t="s">
        <v>528</v>
      </c>
      <c r="AM260" t="s">
        <v>347</v>
      </c>
      <c r="AN260" t="s">
        <v>410</v>
      </c>
      <c r="AO260" t="s">
        <v>367</v>
      </c>
      <c r="AP260" t="s">
        <v>411</v>
      </c>
      <c r="AQ260" t="s">
        <v>368</v>
      </c>
      <c r="AR260" t="s">
        <v>369</v>
      </c>
      <c r="AS260">
        <v>16</v>
      </c>
      <c r="AT260" t="s">
        <v>349</v>
      </c>
      <c r="AU260" t="s">
        <v>349</v>
      </c>
      <c r="AV260" t="s">
        <v>367</v>
      </c>
      <c r="AW260" t="s">
        <v>367</v>
      </c>
      <c r="AX260" t="s">
        <v>367</v>
      </c>
      <c r="AY260" t="s">
        <v>367</v>
      </c>
      <c r="AZ260" t="s">
        <v>367</v>
      </c>
      <c r="BA260" t="s">
        <v>367</v>
      </c>
      <c r="BB260" t="s">
        <v>367</v>
      </c>
      <c r="BC260">
        <v>6</v>
      </c>
    </row>
    <row r="261" spans="1:55" ht="15" customHeight="1" x14ac:dyDescent="0.35">
      <c r="A261" t="s">
        <v>995</v>
      </c>
      <c r="B261" t="s">
        <v>1669</v>
      </c>
      <c r="C261" t="s">
        <v>292</v>
      </c>
      <c r="D261" t="s">
        <v>83</v>
      </c>
      <c r="E261">
        <v>2013</v>
      </c>
      <c r="F261" t="s">
        <v>293</v>
      </c>
      <c r="G261" t="s">
        <v>335</v>
      </c>
      <c r="H261" t="s">
        <v>335</v>
      </c>
      <c r="I261" t="s">
        <v>335</v>
      </c>
      <c r="J261" t="s">
        <v>339</v>
      </c>
      <c r="K261" t="s">
        <v>335</v>
      </c>
      <c r="L261" t="s">
        <v>335</v>
      </c>
      <c r="M261" t="s">
        <v>352</v>
      </c>
      <c r="N261" t="s">
        <v>335</v>
      </c>
      <c r="P261" t="s">
        <v>461</v>
      </c>
      <c r="Q261" t="s">
        <v>924</v>
      </c>
      <c r="R261" t="s">
        <v>925</v>
      </c>
      <c r="S261" t="s">
        <v>923</v>
      </c>
      <c r="T261" t="s">
        <v>1235</v>
      </c>
      <c r="U261" t="s">
        <v>1239</v>
      </c>
      <c r="V261">
        <v>-34.299999999999997</v>
      </c>
      <c r="W261">
        <v>116.18</v>
      </c>
      <c r="X261">
        <v>233</v>
      </c>
      <c r="Y261" t="s">
        <v>926</v>
      </c>
      <c r="AA261" t="s">
        <v>1236</v>
      </c>
      <c r="AB261" t="s">
        <v>512</v>
      </c>
      <c r="AC261" t="s">
        <v>1241</v>
      </c>
      <c r="AD261" t="s">
        <v>816</v>
      </c>
      <c r="AE261" t="s">
        <v>354</v>
      </c>
      <c r="AF261" t="s">
        <v>346</v>
      </c>
      <c r="AG261" t="s">
        <v>346</v>
      </c>
      <c r="AH261" t="s">
        <v>346</v>
      </c>
      <c r="AI261" t="s">
        <v>346</v>
      </c>
      <c r="AJ261" t="s">
        <v>339</v>
      </c>
      <c r="AK261">
        <v>894</v>
      </c>
      <c r="AL261" t="s">
        <v>377</v>
      </c>
      <c r="AM261" t="s">
        <v>339</v>
      </c>
      <c r="AN261" t="s">
        <v>348</v>
      </c>
      <c r="AO261" t="s">
        <v>367</v>
      </c>
      <c r="AP261" t="s">
        <v>927</v>
      </c>
      <c r="AQ261" t="s">
        <v>368</v>
      </c>
      <c r="AR261" t="s">
        <v>369</v>
      </c>
      <c r="AS261">
        <v>15</v>
      </c>
      <c r="AT261" t="s">
        <v>349</v>
      </c>
      <c r="AU261" t="s">
        <v>367</v>
      </c>
      <c r="AV261" t="s">
        <v>367</v>
      </c>
      <c r="AW261" t="s">
        <v>367</v>
      </c>
      <c r="AX261" t="s">
        <v>367</v>
      </c>
      <c r="AY261" t="s">
        <v>367</v>
      </c>
      <c r="AZ261" t="s">
        <v>367</v>
      </c>
      <c r="BA261" t="s">
        <v>367</v>
      </c>
      <c r="BB261" t="s">
        <v>367</v>
      </c>
      <c r="BC261">
        <v>4.5</v>
      </c>
    </row>
    <row r="262" spans="1:55" ht="15" customHeight="1" x14ac:dyDescent="0.35">
      <c r="A262" t="s">
        <v>995</v>
      </c>
      <c r="B262" t="s">
        <v>1670</v>
      </c>
      <c r="C262" t="s">
        <v>294</v>
      </c>
      <c r="D262" t="s">
        <v>67</v>
      </c>
      <c r="E262">
        <v>2012</v>
      </c>
      <c r="F262" t="s">
        <v>1058</v>
      </c>
      <c r="G262" t="s">
        <v>335</v>
      </c>
      <c r="H262" t="s">
        <v>335</v>
      </c>
      <c r="I262" t="s">
        <v>335</v>
      </c>
      <c r="J262" t="s">
        <v>339</v>
      </c>
      <c r="K262" t="s">
        <v>335</v>
      </c>
      <c r="L262" t="s">
        <v>335</v>
      </c>
      <c r="M262" t="s">
        <v>352</v>
      </c>
      <c r="N262" t="s">
        <v>352</v>
      </c>
      <c r="P262" t="s">
        <v>395</v>
      </c>
      <c r="Q262" t="s">
        <v>930</v>
      </c>
      <c r="R262" t="s">
        <v>931</v>
      </c>
      <c r="S262" t="s">
        <v>929</v>
      </c>
      <c r="T262" t="s">
        <v>348</v>
      </c>
      <c r="U262" t="s">
        <v>344</v>
      </c>
      <c r="V262">
        <v>40.43</v>
      </c>
      <c r="W262">
        <v>-104.29</v>
      </c>
      <c r="X262">
        <v>1420</v>
      </c>
      <c r="Y262" t="s">
        <v>928</v>
      </c>
      <c r="Z262" t="s">
        <v>1355</v>
      </c>
      <c r="AA262" t="s">
        <v>1247</v>
      </c>
      <c r="AB262" t="s">
        <v>400</v>
      </c>
      <c r="AC262" t="s">
        <v>366</v>
      </c>
      <c r="AD262" t="s">
        <v>1288</v>
      </c>
      <c r="AE262" t="s">
        <v>364</v>
      </c>
      <c r="AF262">
        <v>-0.6</v>
      </c>
      <c r="AG262">
        <v>0.23499999999999999</v>
      </c>
      <c r="AH262" t="s">
        <v>346</v>
      </c>
      <c r="AI262" t="s">
        <v>346</v>
      </c>
      <c r="AJ262" t="s">
        <v>592</v>
      </c>
      <c r="AK262">
        <v>811</v>
      </c>
      <c r="AL262" t="s">
        <v>377</v>
      </c>
      <c r="AM262" t="s">
        <v>347</v>
      </c>
      <c r="AN262" t="s">
        <v>348</v>
      </c>
      <c r="AO262" t="s">
        <v>349</v>
      </c>
      <c r="AP262" t="s">
        <v>386</v>
      </c>
      <c r="AQ262" t="s">
        <v>368</v>
      </c>
      <c r="AR262" t="s">
        <v>369</v>
      </c>
      <c r="AS262">
        <v>40</v>
      </c>
      <c r="AT262" t="s">
        <v>349</v>
      </c>
      <c r="AU262" t="s">
        <v>349</v>
      </c>
      <c r="AV262" t="s">
        <v>349</v>
      </c>
      <c r="AW262" t="s">
        <v>367</v>
      </c>
      <c r="AX262" t="s">
        <v>367</v>
      </c>
      <c r="AY262" t="s">
        <v>367</v>
      </c>
      <c r="AZ262" t="s">
        <v>367</v>
      </c>
      <c r="BA262" t="s">
        <v>367</v>
      </c>
      <c r="BB262" t="s">
        <v>367</v>
      </c>
      <c r="BC262">
        <v>4</v>
      </c>
    </row>
    <row r="263" spans="1:55" ht="15" customHeight="1" x14ac:dyDescent="0.35">
      <c r="A263" t="s">
        <v>995</v>
      </c>
      <c r="B263" t="s">
        <v>1670</v>
      </c>
      <c r="C263" t="s">
        <v>294</v>
      </c>
      <c r="D263" t="s">
        <v>67</v>
      </c>
      <c r="E263">
        <v>2012</v>
      </c>
      <c r="F263" t="s">
        <v>1058</v>
      </c>
      <c r="G263" t="s">
        <v>335</v>
      </c>
      <c r="H263" t="s">
        <v>335</v>
      </c>
      <c r="I263" t="s">
        <v>335</v>
      </c>
      <c r="J263" t="s">
        <v>339</v>
      </c>
      <c r="K263" t="s">
        <v>335</v>
      </c>
      <c r="L263" t="s">
        <v>335</v>
      </c>
      <c r="M263" t="s">
        <v>352</v>
      </c>
      <c r="N263" t="s">
        <v>352</v>
      </c>
      <c r="P263" t="s">
        <v>395</v>
      </c>
      <c r="Q263" t="s">
        <v>930</v>
      </c>
      <c r="R263" t="s">
        <v>931</v>
      </c>
      <c r="S263" t="s">
        <v>929</v>
      </c>
      <c r="T263" t="s">
        <v>348</v>
      </c>
      <c r="U263" t="s">
        <v>344</v>
      </c>
      <c r="V263">
        <v>40.43</v>
      </c>
      <c r="W263">
        <v>-104.29</v>
      </c>
      <c r="X263">
        <v>1420</v>
      </c>
      <c r="Y263" t="s">
        <v>928</v>
      </c>
      <c r="Z263" t="s">
        <v>932</v>
      </c>
      <c r="AA263" t="s">
        <v>393</v>
      </c>
      <c r="AB263" t="s">
        <v>393</v>
      </c>
      <c r="AC263" t="s">
        <v>1241</v>
      </c>
      <c r="AD263" t="s">
        <v>1258</v>
      </c>
      <c r="AE263" t="s">
        <v>345</v>
      </c>
      <c r="AF263">
        <v>1.4E-2</v>
      </c>
      <c r="AG263">
        <v>5.0000000000000001E-3</v>
      </c>
      <c r="AH263" t="s">
        <v>346</v>
      </c>
      <c r="AI263" t="s">
        <v>346</v>
      </c>
      <c r="AJ263" t="s">
        <v>592</v>
      </c>
      <c r="AK263">
        <v>301</v>
      </c>
      <c r="AL263" t="s">
        <v>377</v>
      </c>
      <c r="AM263" t="s">
        <v>347</v>
      </c>
      <c r="AN263" t="s">
        <v>348</v>
      </c>
      <c r="AO263" t="s">
        <v>349</v>
      </c>
      <c r="AP263" t="s">
        <v>386</v>
      </c>
      <c r="AQ263" t="s">
        <v>368</v>
      </c>
      <c r="AR263" t="s">
        <v>369</v>
      </c>
      <c r="AS263">
        <v>40</v>
      </c>
      <c r="AT263" t="s">
        <v>349</v>
      </c>
      <c r="AU263" t="s">
        <v>349</v>
      </c>
      <c r="AV263" t="s">
        <v>349</v>
      </c>
      <c r="AW263" t="s">
        <v>367</v>
      </c>
      <c r="AX263" t="s">
        <v>367</v>
      </c>
      <c r="AY263" t="s">
        <v>367</v>
      </c>
      <c r="AZ263" t="s">
        <v>367</v>
      </c>
      <c r="BA263" t="s">
        <v>367</v>
      </c>
      <c r="BB263" t="s">
        <v>367</v>
      </c>
      <c r="BC263">
        <v>4</v>
      </c>
    </row>
    <row r="264" spans="1:55" ht="15" customHeight="1" x14ac:dyDescent="0.35">
      <c r="A264" t="s">
        <v>995</v>
      </c>
      <c r="B264" t="s">
        <v>1670</v>
      </c>
      <c r="C264" t="s">
        <v>294</v>
      </c>
      <c r="D264" t="s">
        <v>67</v>
      </c>
      <c r="E264">
        <v>2012</v>
      </c>
      <c r="F264" t="s">
        <v>1058</v>
      </c>
      <c r="G264" t="s">
        <v>335</v>
      </c>
      <c r="H264" t="s">
        <v>335</v>
      </c>
      <c r="I264" t="s">
        <v>335</v>
      </c>
      <c r="J264" t="s">
        <v>339</v>
      </c>
      <c r="K264" t="s">
        <v>335</v>
      </c>
      <c r="L264" t="s">
        <v>335</v>
      </c>
      <c r="M264" t="s">
        <v>352</v>
      </c>
      <c r="N264" t="s">
        <v>352</v>
      </c>
      <c r="P264" t="s">
        <v>395</v>
      </c>
      <c r="Q264" t="s">
        <v>930</v>
      </c>
      <c r="R264" t="s">
        <v>931</v>
      </c>
      <c r="S264" t="s">
        <v>929</v>
      </c>
      <c r="T264" t="s">
        <v>348</v>
      </c>
      <c r="U264" t="s">
        <v>344</v>
      </c>
      <c r="V264">
        <v>40.43</v>
      </c>
      <c r="W264">
        <v>-104.29</v>
      </c>
      <c r="X264">
        <v>1420</v>
      </c>
      <c r="Y264" t="s">
        <v>928</v>
      </c>
      <c r="Z264" t="s">
        <v>1356</v>
      </c>
      <c r="AA264" t="s">
        <v>1247</v>
      </c>
      <c r="AB264" t="s">
        <v>400</v>
      </c>
      <c r="AC264" t="s">
        <v>1241</v>
      </c>
      <c r="AD264" t="s">
        <v>1258</v>
      </c>
      <c r="AE264" t="s">
        <v>345</v>
      </c>
      <c r="AF264">
        <v>0.03</v>
      </c>
      <c r="AG264">
        <v>1.2E-2</v>
      </c>
      <c r="AH264" t="s">
        <v>346</v>
      </c>
      <c r="AI264" t="s">
        <v>346</v>
      </c>
      <c r="AJ264" t="s">
        <v>592</v>
      </c>
      <c r="AK264">
        <v>811</v>
      </c>
      <c r="AL264" t="s">
        <v>377</v>
      </c>
      <c r="AM264" t="s">
        <v>347</v>
      </c>
      <c r="AN264" t="s">
        <v>348</v>
      </c>
      <c r="AO264" t="s">
        <v>349</v>
      </c>
      <c r="AP264" t="s">
        <v>386</v>
      </c>
      <c r="AQ264" t="s">
        <v>368</v>
      </c>
      <c r="AR264" t="s">
        <v>369</v>
      </c>
      <c r="AS264">
        <v>40</v>
      </c>
      <c r="AT264" t="s">
        <v>349</v>
      </c>
      <c r="AU264" t="s">
        <v>349</v>
      </c>
      <c r="AV264" t="s">
        <v>349</v>
      </c>
      <c r="AW264" t="s">
        <v>367</v>
      </c>
      <c r="AX264" t="s">
        <v>367</v>
      </c>
      <c r="AY264" t="s">
        <v>367</v>
      </c>
      <c r="AZ264" t="s">
        <v>367</v>
      </c>
      <c r="BA264" t="s">
        <v>367</v>
      </c>
      <c r="BB264" t="s">
        <v>367</v>
      </c>
      <c r="BC264">
        <v>4</v>
      </c>
    </row>
    <row r="265" spans="1:55" ht="15" customHeight="1" x14ac:dyDescent="0.35">
      <c r="A265" t="s">
        <v>995</v>
      </c>
      <c r="B265" t="s">
        <v>1671</v>
      </c>
      <c r="C265" t="s">
        <v>296</v>
      </c>
      <c r="D265" t="s">
        <v>297</v>
      </c>
      <c r="E265">
        <v>2013</v>
      </c>
      <c r="F265" t="s">
        <v>298</v>
      </c>
      <c r="G265" t="s">
        <v>335</v>
      </c>
      <c r="H265" t="s">
        <v>335</v>
      </c>
      <c r="I265" t="s">
        <v>335</v>
      </c>
      <c r="J265" t="s">
        <v>339</v>
      </c>
      <c r="K265" t="s">
        <v>335</v>
      </c>
      <c r="L265" t="s">
        <v>335</v>
      </c>
      <c r="M265" t="s">
        <v>352</v>
      </c>
      <c r="N265" t="s">
        <v>352</v>
      </c>
      <c r="P265" t="s">
        <v>587</v>
      </c>
      <c r="Q265" t="s">
        <v>584</v>
      </c>
      <c r="R265" t="s">
        <v>585</v>
      </c>
      <c r="S265" t="s">
        <v>583</v>
      </c>
      <c r="T265" t="s">
        <v>1235</v>
      </c>
      <c r="U265" t="s">
        <v>1239</v>
      </c>
      <c r="V265">
        <v>48.39</v>
      </c>
      <c r="W265">
        <v>18.350000000000001</v>
      </c>
      <c r="X265">
        <v>340</v>
      </c>
      <c r="Y265" t="s">
        <v>933</v>
      </c>
      <c r="Z265" t="s">
        <v>935</v>
      </c>
      <c r="AA265" t="s">
        <v>1236</v>
      </c>
      <c r="AB265" t="s">
        <v>384</v>
      </c>
      <c r="AC265" t="s">
        <v>1237</v>
      </c>
      <c r="AD265" t="s">
        <v>1261</v>
      </c>
      <c r="AE265" t="s">
        <v>354</v>
      </c>
      <c r="AF265">
        <v>-0.13</v>
      </c>
      <c r="AG265" t="s">
        <v>346</v>
      </c>
      <c r="AH265" t="s">
        <v>346</v>
      </c>
      <c r="AI265" t="s">
        <v>346</v>
      </c>
      <c r="AJ265" t="s">
        <v>592</v>
      </c>
      <c r="AK265">
        <v>325</v>
      </c>
      <c r="AL265" t="s">
        <v>377</v>
      </c>
      <c r="AM265" t="s">
        <v>339</v>
      </c>
      <c r="AN265" t="s">
        <v>410</v>
      </c>
      <c r="AO265" t="s">
        <v>367</v>
      </c>
      <c r="AP265" t="s">
        <v>411</v>
      </c>
      <c r="AQ265" t="s">
        <v>368</v>
      </c>
      <c r="AR265" t="s">
        <v>369</v>
      </c>
      <c r="AS265">
        <v>12</v>
      </c>
      <c r="AT265" t="s">
        <v>349</v>
      </c>
      <c r="AU265" t="s">
        <v>367</v>
      </c>
      <c r="AV265" t="s">
        <v>367</v>
      </c>
      <c r="AW265" t="s">
        <v>367</v>
      </c>
      <c r="AX265" t="s">
        <v>367</v>
      </c>
      <c r="AY265" t="s">
        <v>367</v>
      </c>
      <c r="AZ265" t="s">
        <v>367</v>
      </c>
      <c r="BA265" t="s">
        <v>367</v>
      </c>
      <c r="BB265" t="s">
        <v>367</v>
      </c>
      <c r="BC265">
        <v>6</v>
      </c>
    </row>
    <row r="266" spans="1:55" ht="15" customHeight="1" x14ac:dyDescent="0.35">
      <c r="A266" t="s">
        <v>995</v>
      </c>
      <c r="B266" t="s">
        <v>1671</v>
      </c>
      <c r="C266" t="s">
        <v>296</v>
      </c>
      <c r="D266" t="s">
        <v>297</v>
      </c>
      <c r="E266">
        <v>2013</v>
      </c>
      <c r="F266" t="s">
        <v>298</v>
      </c>
      <c r="G266" t="s">
        <v>335</v>
      </c>
      <c r="H266" t="s">
        <v>335</v>
      </c>
      <c r="I266" t="s">
        <v>335</v>
      </c>
      <c r="J266" t="s">
        <v>339</v>
      </c>
      <c r="K266" t="s">
        <v>335</v>
      </c>
      <c r="L266" t="s">
        <v>335</v>
      </c>
      <c r="M266" t="s">
        <v>352</v>
      </c>
      <c r="N266" t="s">
        <v>352</v>
      </c>
      <c r="P266" t="s">
        <v>587</v>
      </c>
      <c r="Q266" t="s">
        <v>584</v>
      </c>
      <c r="R266" t="s">
        <v>585</v>
      </c>
      <c r="S266" t="s">
        <v>583</v>
      </c>
      <c r="T266" t="s">
        <v>1235</v>
      </c>
      <c r="U266" t="s">
        <v>1239</v>
      </c>
      <c r="V266">
        <v>48.4</v>
      </c>
      <c r="W266">
        <v>18.55</v>
      </c>
      <c r="X266">
        <v>650</v>
      </c>
      <c r="Y266" t="s">
        <v>934</v>
      </c>
      <c r="Z266" t="s">
        <v>935</v>
      </c>
      <c r="AA266" t="s">
        <v>1236</v>
      </c>
      <c r="AB266" t="s">
        <v>384</v>
      </c>
      <c r="AC266" t="s">
        <v>1237</v>
      </c>
      <c r="AD266" t="s">
        <v>1261</v>
      </c>
      <c r="AE266" t="s">
        <v>354</v>
      </c>
      <c r="AF266">
        <v>0.04</v>
      </c>
      <c r="AG266" t="s">
        <v>346</v>
      </c>
      <c r="AH266" t="s">
        <v>346</v>
      </c>
      <c r="AI266" t="s">
        <v>346</v>
      </c>
      <c r="AJ266" t="s">
        <v>592</v>
      </c>
      <c r="AK266">
        <v>69</v>
      </c>
      <c r="AL266" t="s">
        <v>377</v>
      </c>
      <c r="AM266" t="s">
        <v>339</v>
      </c>
      <c r="AN266" t="s">
        <v>410</v>
      </c>
      <c r="AO266" t="s">
        <v>367</v>
      </c>
      <c r="AP266" t="s">
        <v>411</v>
      </c>
      <c r="AQ266" t="s">
        <v>368</v>
      </c>
      <c r="AR266" t="s">
        <v>369</v>
      </c>
      <c r="AS266">
        <v>12</v>
      </c>
      <c r="AT266" t="s">
        <v>349</v>
      </c>
      <c r="AU266" t="s">
        <v>367</v>
      </c>
      <c r="AV266" t="s">
        <v>367</v>
      </c>
      <c r="AW266" t="s">
        <v>367</v>
      </c>
      <c r="AX266" t="s">
        <v>367</v>
      </c>
      <c r="AY266" t="s">
        <v>367</v>
      </c>
      <c r="AZ266" t="s">
        <v>367</v>
      </c>
      <c r="BA266" t="s">
        <v>367</v>
      </c>
      <c r="BB266" t="s">
        <v>367</v>
      </c>
      <c r="BC266">
        <v>6</v>
      </c>
    </row>
    <row r="267" spans="1:55" ht="15" customHeight="1" x14ac:dyDescent="0.35">
      <c r="A267" t="s">
        <v>995</v>
      </c>
      <c r="B267" t="s">
        <v>1672</v>
      </c>
      <c r="C267" t="s">
        <v>299</v>
      </c>
      <c r="D267" t="s">
        <v>49</v>
      </c>
      <c r="E267">
        <v>2021</v>
      </c>
      <c r="F267" t="s">
        <v>300</v>
      </c>
      <c r="G267" t="s">
        <v>335</v>
      </c>
      <c r="H267" t="s">
        <v>335</v>
      </c>
      <c r="I267" t="s">
        <v>335</v>
      </c>
      <c r="J267" t="s">
        <v>339</v>
      </c>
      <c r="K267" t="s">
        <v>335</v>
      </c>
      <c r="L267" t="s">
        <v>335</v>
      </c>
      <c r="M267" t="s">
        <v>352</v>
      </c>
      <c r="N267" t="s">
        <v>352</v>
      </c>
      <c r="P267" t="s">
        <v>939</v>
      </c>
      <c r="Q267" t="s">
        <v>938</v>
      </c>
      <c r="R267" t="s">
        <v>520</v>
      </c>
      <c r="S267" t="s">
        <v>937</v>
      </c>
      <c r="T267" t="s">
        <v>1235</v>
      </c>
      <c r="U267" t="s">
        <v>665</v>
      </c>
      <c r="V267">
        <v>9.1521000000000008</v>
      </c>
      <c r="W267">
        <v>-79.846500000000006</v>
      </c>
      <c r="X267">
        <v>113</v>
      </c>
      <c r="Y267" t="s">
        <v>940</v>
      </c>
      <c r="Z267" t="s">
        <v>1357</v>
      </c>
      <c r="AA267" t="s">
        <v>393</v>
      </c>
      <c r="AB267" t="s">
        <v>1141</v>
      </c>
      <c r="AC267" t="s">
        <v>1241</v>
      </c>
      <c r="AD267" t="s">
        <v>936</v>
      </c>
      <c r="AE267" t="s">
        <v>345</v>
      </c>
      <c r="AF267">
        <v>0.78</v>
      </c>
      <c r="AG267">
        <v>0.16</v>
      </c>
      <c r="AH267" t="s">
        <v>346</v>
      </c>
      <c r="AI267" t="s">
        <v>346</v>
      </c>
      <c r="AJ267" t="s">
        <v>592</v>
      </c>
      <c r="AK267" t="s">
        <v>346</v>
      </c>
      <c r="AL267" t="s">
        <v>346</v>
      </c>
      <c r="AM267" t="s">
        <v>347</v>
      </c>
      <c r="AN267" t="s">
        <v>348</v>
      </c>
      <c r="AO267" t="s">
        <v>349</v>
      </c>
      <c r="AP267" t="s">
        <v>386</v>
      </c>
      <c r="AQ267" t="s">
        <v>368</v>
      </c>
      <c r="AR267" t="s">
        <v>535</v>
      </c>
      <c r="AS267">
        <v>175</v>
      </c>
      <c r="AT267" t="s">
        <v>349</v>
      </c>
      <c r="AU267" t="s">
        <v>367</v>
      </c>
      <c r="AV267" t="s">
        <v>349</v>
      </c>
      <c r="AW267" t="s">
        <v>367</v>
      </c>
      <c r="AX267" t="s">
        <v>367</v>
      </c>
      <c r="AY267" t="s">
        <v>367</v>
      </c>
      <c r="AZ267" t="s">
        <v>349</v>
      </c>
      <c r="BA267" t="s">
        <v>349</v>
      </c>
      <c r="BB267" t="s">
        <v>367</v>
      </c>
      <c r="BC267">
        <v>4</v>
      </c>
    </row>
    <row r="268" spans="1:55" ht="15" customHeight="1" x14ac:dyDescent="0.35">
      <c r="A268" t="s">
        <v>995</v>
      </c>
      <c r="B268" t="s">
        <v>1673</v>
      </c>
      <c r="C268" t="s">
        <v>301</v>
      </c>
      <c r="D268" t="s">
        <v>108</v>
      </c>
      <c r="E268">
        <v>2018</v>
      </c>
      <c r="F268" t="s">
        <v>1064</v>
      </c>
      <c r="G268" t="s">
        <v>335</v>
      </c>
      <c r="H268" t="s">
        <v>335</v>
      </c>
      <c r="I268" t="s">
        <v>335</v>
      </c>
      <c r="J268" t="s">
        <v>339</v>
      </c>
      <c r="K268" t="s">
        <v>335</v>
      </c>
      <c r="L268" t="s">
        <v>335</v>
      </c>
      <c r="M268" t="s">
        <v>352</v>
      </c>
      <c r="N268" t="s">
        <v>352</v>
      </c>
      <c r="P268" t="s">
        <v>480</v>
      </c>
      <c r="Q268" t="s">
        <v>481</v>
      </c>
      <c r="R268" t="s">
        <v>482</v>
      </c>
      <c r="S268" t="s">
        <v>1514</v>
      </c>
      <c r="T268" t="s">
        <v>348</v>
      </c>
      <c r="U268" t="s">
        <v>344</v>
      </c>
      <c r="V268">
        <v>46.448</v>
      </c>
      <c r="W268">
        <v>108.54300000000001</v>
      </c>
      <c r="X268">
        <v>1113</v>
      </c>
      <c r="Y268" t="s">
        <v>943</v>
      </c>
      <c r="AA268" t="s">
        <v>1247</v>
      </c>
      <c r="AB268" t="s">
        <v>400</v>
      </c>
      <c r="AC268" t="s">
        <v>366</v>
      </c>
      <c r="AD268" t="s">
        <v>942</v>
      </c>
      <c r="AE268" t="s">
        <v>364</v>
      </c>
      <c r="AF268">
        <v>-0.2</v>
      </c>
      <c r="AG268" t="s">
        <v>346</v>
      </c>
      <c r="AH268">
        <v>-0.3</v>
      </c>
      <c r="AI268">
        <v>-0.09</v>
      </c>
      <c r="AJ268" t="s">
        <v>941</v>
      </c>
      <c r="AK268">
        <v>501</v>
      </c>
      <c r="AL268" t="s">
        <v>377</v>
      </c>
      <c r="AM268" t="s">
        <v>452</v>
      </c>
      <c r="AN268" t="s">
        <v>348</v>
      </c>
      <c r="AO268" t="s">
        <v>349</v>
      </c>
      <c r="AP268" t="s">
        <v>355</v>
      </c>
      <c r="AQ268" t="s">
        <v>351</v>
      </c>
      <c r="AR268" t="s">
        <v>356</v>
      </c>
      <c r="AS268">
        <v>1950</v>
      </c>
      <c r="AT268" t="s">
        <v>349</v>
      </c>
      <c r="AU268" t="s">
        <v>349</v>
      </c>
      <c r="AV268" t="s">
        <v>367</v>
      </c>
      <c r="AW268" t="s">
        <v>367</v>
      </c>
      <c r="AX268" t="s">
        <v>367</v>
      </c>
      <c r="AY268" t="s">
        <v>367</v>
      </c>
      <c r="AZ268" t="s">
        <v>367</v>
      </c>
      <c r="BA268" t="s">
        <v>367</v>
      </c>
      <c r="BB268" t="s">
        <v>367</v>
      </c>
      <c r="BC268">
        <v>7.5</v>
      </c>
    </row>
    <row r="269" spans="1:55" ht="15" customHeight="1" x14ac:dyDescent="0.35">
      <c r="A269" t="s">
        <v>995</v>
      </c>
      <c r="B269" t="s">
        <v>1674</v>
      </c>
      <c r="C269" t="s">
        <v>302</v>
      </c>
      <c r="D269" t="s">
        <v>32</v>
      </c>
      <c r="E269">
        <v>2014</v>
      </c>
      <c r="F269" t="s">
        <v>303</v>
      </c>
      <c r="G269" t="s">
        <v>335</v>
      </c>
      <c r="H269" t="s">
        <v>335</v>
      </c>
      <c r="I269" t="s">
        <v>335</v>
      </c>
      <c r="J269" t="s">
        <v>339</v>
      </c>
      <c r="K269" t="s">
        <v>335</v>
      </c>
      <c r="L269" t="s">
        <v>335</v>
      </c>
      <c r="M269" t="s">
        <v>352</v>
      </c>
      <c r="N269" t="s">
        <v>352</v>
      </c>
      <c r="P269" t="s">
        <v>756</v>
      </c>
      <c r="Q269" t="s">
        <v>946</v>
      </c>
      <c r="R269" t="s">
        <v>947</v>
      </c>
      <c r="S269" t="s">
        <v>944</v>
      </c>
      <c r="T269" t="s">
        <v>1249</v>
      </c>
      <c r="U269" t="s">
        <v>422</v>
      </c>
      <c r="V269">
        <v>33.225239999999999</v>
      </c>
      <c r="W269">
        <v>-118.254868</v>
      </c>
      <c r="X269">
        <v>230</v>
      </c>
      <c r="Y269" t="s">
        <v>945</v>
      </c>
      <c r="Z269" t="s">
        <v>1358</v>
      </c>
      <c r="AA269" t="s">
        <v>1247</v>
      </c>
      <c r="AB269" t="s">
        <v>400</v>
      </c>
      <c r="AC269" t="s">
        <v>1241</v>
      </c>
      <c r="AD269" t="s">
        <v>1258</v>
      </c>
      <c r="AE269" t="s">
        <v>354</v>
      </c>
      <c r="AF269">
        <v>-0.01</v>
      </c>
      <c r="AG269">
        <v>0.01</v>
      </c>
      <c r="AH269" t="s">
        <v>346</v>
      </c>
      <c r="AI269" t="s">
        <v>346</v>
      </c>
      <c r="AJ269" t="s">
        <v>592</v>
      </c>
      <c r="AK269">
        <v>181</v>
      </c>
      <c r="AL269" t="s">
        <v>645</v>
      </c>
      <c r="AM269" t="s">
        <v>339</v>
      </c>
      <c r="AN269" t="s">
        <v>348</v>
      </c>
      <c r="AO269" t="s">
        <v>349</v>
      </c>
      <c r="AP269" t="s">
        <v>386</v>
      </c>
      <c r="AQ269" t="s">
        <v>368</v>
      </c>
      <c r="AR269" t="s">
        <v>369</v>
      </c>
      <c r="AS269">
        <v>9</v>
      </c>
      <c r="AT269" t="s">
        <v>349</v>
      </c>
      <c r="AU269" t="s">
        <v>349</v>
      </c>
      <c r="AV269" t="s">
        <v>349</v>
      </c>
      <c r="AW269" t="s">
        <v>367</v>
      </c>
      <c r="AX269" t="s">
        <v>367</v>
      </c>
      <c r="AY269" t="s">
        <v>367</v>
      </c>
      <c r="AZ269" t="s">
        <v>367</v>
      </c>
      <c r="BA269" t="s">
        <v>367</v>
      </c>
      <c r="BB269" t="s">
        <v>367</v>
      </c>
      <c r="BC269">
        <v>4.5</v>
      </c>
    </row>
    <row r="270" spans="1:55" ht="15" customHeight="1" x14ac:dyDescent="0.35">
      <c r="A270" t="s">
        <v>995</v>
      </c>
      <c r="B270" t="s">
        <v>1675</v>
      </c>
      <c r="C270" t="s">
        <v>304</v>
      </c>
      <c r="D270" t="s">
        <v>114</v>
      </c>
      <c r="E270">
        <v>1996</v>
      </c>
      <c r="F270" t="s">
        <v>305</v>
      </c>
      <c r="G270" t="s">
        <v>335</v>
      </c>
      <c r="H270" t="s">
        <v>335</v>
      </c>
      <c r="I270" t="s">
        <v>335</v>
      </c>
      <c r="J270" t="s">
        <v>339</v>
      </c>
      <c r="K270" t="s">
        <v>335</v>
      </c>
      <c r="L270" t="s">
        <v>335</v>
      </c>
      <c r="M270" t="s">
        <v>352</v>
      </c>
      <c r="N270" t="s">
        <v>335</v>
      </c>
      <c r="P270" t="s">
        <v>953</v>
      </c>
      <c r="Q270" t="s">
        <v>948</v>
      </c>
      <c r="R270" t="s">
        <v>949</v>
      </c>
      <c r="S270" t="s">
        <v>952</v>
      </c>
      <c r="T270" t="s">
        <v>1235</v>
      </c>
      <c r="U270" t="s">
        <v>1239</v>
      </c>
      <c r="V270">
        <v>51.3</v>
      </c>
      <c r="W270">
        <v>20.149999999999999</v>
      </c>
      <c r="X270">
        <v>200</v>
      </c>
      <c r="Y270" t="s">
        <v>950</v>
      </c>
      <c r="Z270" t="s">
        <v>951</v>
      </c>
      <c r="AA270" t="s">
        <v>393</v>
      </c>
      <c r="AB270" t="s">
        <v>393</v>
      </c>
      <c r="AC270" t="s">
        <v>1237</v>
      </c>
      <c r="AD270" t="s">
        <v>1359</v>
      </c>
      <c r="AE270" t="s">
        <v>364</v>
      </c>
      <c r="AF270">
        <v>-0.81240000000000001</v>
      </c>
      <c r="AG270" t="s">
        <v>346</v>
      </c>
      <c r="AH270" t="s">
        <v>346</v>
      </c>
      <c r="AI270" t="s">
        <v>346</v>
      </c>
      <c r="AJ270" t="s">
        <v>838</v>
      </c>
      <c r="AK270">
        <v>99</v>
      </c>
      <c r="AL270" t="s">
        <v>377</v>
      </c>
      <c r="AM270" t="s">
        <v>347</v>
      </c>
      <c r="AN270" t="s">
        <v>410</v>
      </c>
      <c r="AO270" t="s">
        <v>367</v>
      </c>
      <c r="AP270" t="s">
        <v>411</v>
      </c>
      <c r="AQ270" t="s">
        <v>368</v>
      </c>
      <c r="AR270" t="s">
        <v>369</v>
      </c>
      <c r="AS270">
        <v>144</v>
      </c>
      <c r="AT270" t="s">
        <v>349</v>
      </c>
      <c r="AU270" t="s">
        <v>367</v>
      </c>
      <c r="AV270" t="s">
        <v>349</v>
      </c>
      <c r="AW270" t="s">
        <v>349</v>
      </c>
      <c r="AX270" t="s">
        <v>367</v>
      </c>
      <c r="AY270" t="s">
        <v>349</v>
      </c>
      <c r="AZ270" t="s">
        <v>349</v>
      </c>
      <c r="BA270" t="s">
        <v>349</v>
      </c>
      <c r="BB270" t="s">
        <v>367</v>
      </c>
      <c r="BC270">
        <v>4.5</v>
      </c>
    </row>
    <row r="271" spans="1:55" ht="15" customHeight="1" x14ac:dyDescent="0.35">
      <c r="A271" t="s">
        <v>995</v>
      </c>
      <c r="B271" t="s">
        <v>1676</v>
      </c>
      <c r="C271" t="s">
        <v>306</v>
      </c>
      <c r="D271" t="s">
        <v>125</v>
      </c>
      <c r="E271">
        <v>2009</v>
      </c>
      <c r="F271" t="s">
        <v>307</v>
      </c>
      <c r="G271" t="s">
        <v>335</v>
      </c>
      <c r="H271" t="s">
        <v>335</v>
      </c>
      <c r="I271" t="s">
        <v>335</v>
      </c>
      <c r="J271" t="s">
        <v>339</v>
      </c>
      <c r="K271" t="s">
        <v>335</v>
      </c>
      <c r="L271" t="s">
        <v>335</v>
      </c>
      <c r="M271" t="s">
        <v>352</v>
      </c>
      <c r="N271" t="s">
        <v>335</v>
      </c>
      <c r="P271" t="s">
        <v>343</v>
      </c>
      <c r="Q271" t="s">
        <v>957</v>
      </c>
      <c r="R271" t="s">
        <v>564</v>
      </c>
      <c r="S271" t="s">
        <v>956</v>
      </c>
      <c r="T271" t="s">
        <v>1249</v>
      </c>
      <c r="U271" t="s">
        <v>471</v>
      </c>
      <c r="V271">
        <v>28.042581999999999</v>
      </c>
      <c r="W271">
        <v>-81.358294000000001</v>
      </c>
      <c r="X271">
        <v>20</v>
      </c>
      <c r="Y271" t="s">
        <v>955</v>
      </c>
      <c r="Z271" t="s">
        <v>1360</v>
      </c>
      <c r="AA271" t="s">
        <v>393</v>
      </c>
      <c r="AB271" t="s">
        <v>954</v>
      </c>
      <c r="AC271" t="s">
        <v>1241</v>
      </c>
      <c r="AD271" t="s">
        <v>1361</v>
      </c>
      <c r="AE271" t="s">
        <v>345</v>
      </c>
      <c r="AF271" t="s">
        <v>346</v>
      </c>
      <c r="AG271" t="s">
        <v>346</v>
      </c>
      <c r="AH271" t="s">
        <v>346</v>
      </c>
      <c r="AI271" t="s">
        <v>346</v>
      </c>
      <c r="AJ271" t="s">
        <v>339</v>
      </c>
      <c r="AK271">
        <v>63</v>
      </c>
      <c r="AL271" t="s">
        <v>377</v>
      </c>
      <c r="AM271" t="s">
        <v>366</v>
      </c>
      <c r="AN271" t="s">
        <v>348</v>
      </c>
      <c r="AO271" t="s">
        <v>349</v>
      </c>
      <c r="AP271" t="s">
        <v>350</v>
      </c>
      <c r="AQ271" t="s">
        <v>351</v>
      </c>
      <c r="AR271" t="s">
        <v>369</v>
      </c>
      <c r="AS271">
        <v>6850</v>
      </c>
      <c r="AT271" t="s">
        <v>349</v>
      </c>
      <c r="AU271" t="s">
        <v>349</v>
      </c>
      <c r="AV271" t="s">
        <v>367</v>
      </c>
      <c r="AW271" t="s">
        <v>367</v>
      </c>
      <c r="AX271" t="s">
        <v>349</v>
      </c>
      <c r="AY271" t="s">
        <v>367</v>
      </c>
      <c r="AZ271" t="s">
        <v>367</v>
      </c>
      <c r="BA271" t="s">
        <v>349</v>
      </c>
      <c r="BB271" t="s">
        <v>367</v>
      </c>
      <c r="BC271">
        <v>2</v>
      </c>
    </row>
    <row r="272" spans="1:55" ht="15" customHeight="1" x14ac:dyDescent="0.35">
      <c r="A272" t="s">
        <v>995</v>
      </c>
      <c r="B272" t="s">
        <v>1677</v>
      </c>
      <c r="C272" t="s">
        <v>1059</v>
      </c>
      <c r="D272" t="s">
        <v>108</v>
      </c>
      <c r="E272">
        <v>2011</v>
      </c>
      <c r="F272" t="s">
        <v>1140</v>
      </c>
      <c r="G272" t="s">
        <v>335</v>
      </c>
      <c r="H272" t="s">
        <v>335</v>
      </c>
      <c r="I272" t="s">
        <v>335</v>
      </c>
      <c r="J272" t="s">
        <v>339</v>
      </c>
      <c r="K272" t="s">
        <v>335</v>
      </c>
      <c r="L272" t="s">
        <v>335</v>
      </c>
      <c r="M272" t="s">
        <v>352</v>
      </c>
      <c r="N272" t="s">
        <v>352</v>
      </c>
      <c r="P272" t="s">
        <v>395</v>
      </c>
      <c r="Q272" t="s">
        <v>748</v>
      </c>
      <c r="R272" t="s">
        <v>749</v>
      </c>
      <c r="S272" t="s">
        <v>745</v>
      </c>
      <c r="T272" t="s">
        <v>348</v>
      </c>
      <c r="U272" t="s">
        <v>344</v>
      </c>
      <c r="V272">
        <v>41.208514999999998</v>
      </c>
      <c r="W272">
        <v>-78.879384999999999</v>
      </c>
      <c r="X272">
        <v>526</v>
      </c>
      <c r="Y272" t="s">
        <v>681</v>
      </c>
      <c r="Z272" t="s">
        <v>1362</v>
      </c>
      <c r="AA272" t="s">
        <v>1247</v>
      </c>
      <c r="AB272" t="s">
        <v>400</v>
      </c>
      <c r="AC272" t="s">
        <v>366</v>
      </c>
      <c r="AD272" t="s">
        <v>1288</v>
      </c>
      <c r="AE272" t="s">
        <v>345</v>
      </c>
      <c r="AF272">
        <v>3.13</v>
      </c>
      <c r="AG272" t="s">
        <v>346</v>
      </c>
      <c r="AH272">
        <v>-14.19</v>
      </c>
      <c r="AI272">
        <v>20.45</v>
      </c>
      <c r="AJ272" t="s">
        <v>592</v>
      </c>
      <c r="AK272">
        <v>35</v>
      </c>
      <c r="AL272" t="s">
        <v>377</v>
      </c>
      <c r="AM272" t="s">
        <v>366</v>
      </c>
      <c r="AN272" t="s">
        <v>348</v>
      </c>
      <c r="AO272" t="s">
        <v>349</v>
      </c>
      <c r="AP272" t="s">
        <v>386</v>
      </c>
      <c r="AQ272" t="s">
        <v>368</v>
      </c>
      <c r="AR272" t="s">
        <v>369</v>
      </c>
      <c r="AS272">
        <v>16</v>
      </c>
      <c r="AT272" t="s">
        <v>349</v>
      </c>
      <c r="AU272" t="s">
        <v>349</v>
      </c>
      <c r="AV272" t="s">
        <v>367</v>
      </c>
      <c r="AW272" t="s">
        <v>367</v>
      </c>
      <c r="AX272" t="s">
        <v>367</v>
      </c>
      <c r="AY272" t="s">
        <v>367</v>
      </c>
      <c r="AZ272" t="s">
        <v>367</v>
      </c>
      <c r="BA272" t="s">
        <v>367</v>
      </c>
      <c r="BB272" t="s">
        <v>367</v>
      </c>
      <c r="BC272">
        <v>4</v>
      </c>
    </row>
    <row r="273" spans="1:55" ht="15" customHeight="1" x14ac:dyDescent="0.35">
      <c r="A273" t="s">
        <v>995</v>
      </c>
      <c r="B273" t="s">
        <v>1678</v>
      </c>
      <c r="C273" t="s">
        <v>308</v>
      </c>
      <c r="D273" t="s">
        <v>108</v>
      </c>
      <c r="E273">
        <v>1997</v>
      </c>
      <c r="F273" t="s">
        <v>309</v>
      </c>
      <c r="G273" t="s">
        <v>335</v>
      </c>
      <c r="H273" t="s">
        <v>335</v>
      </c>
      <c r="I273" t="s">
        <v>335</v>
      </c>
      <c r="J273" t="s">
        <v>339</v>
      </c>
      <c r="K273" t="s">
        <v>335</v>
      </c>
      <c r="L273" t="s">
        <v>335</v>
      </c>
      <c r="M273" t="s">
        <v>352</v>
      </c>
      <c r="N273" t="s">
        <v>335</v>
      </c>
      <c r="P273" t="s">
        <v>387</v>
      </c>
      <c r="Q273" t="s">
        <v>627</v>
      </c>
      <c r="R273" t="s">
        <v>628</v>
      </c>
      <c r="S273" t="s">
        <v>624</v>
      </c>
      <c r="T273" t="s">
        <v>1235</v>
      </c>
      <c r="U273" t="s">
        <v>506</v>
      </c>
      <c r="V273">
        <v>63.07</v>
      </c>
      <c r="W273">
        <v>-150.30000000000001</v>
      </c>
      <c r="X273">
        <v>1686</v>
      </c>
      <c r="Y273" t="s">
        <v>962</v>
      </c>
      <c r="AA273" t="s">
        <v>1236</v>
      </c>
      <c r="AB273" t="s">
        <v>384</v>
      </c>
      <c r="AC273" t="s">
        <v>1237</v>
      </c>
      <c r="AD273" t="s">
        <v>961</v>
      </c>
      <c r="AE273" t="s">
        <v>354</v>
      </c>
      <c r="AF273" t="s">
        <v>346</v>
      </c>
      <c r="AG273" t="s">
        <v>346</v>
      </c>
      <c r="AH273" t="s">
        <v>346</v>
      </c>
      <c r="AI273" t="s">
        <v>346</v>
      </c>
      <c r="AJ273" t="s">
        <v>339</v>
      </c>
      <c r="AK273">
        <v>33</v>
      </c>
      <c r="AL273" t="s">
        <v>377</v>
      </c>
      <c r="AM273" t="s">
        <v>339</v>
      </c>
      <c r="AN273" t="s">
        <v>348</v>
      </c>
      <c r="AO273" t="s">
        <v>367</v>
      </c>
      <c r="AP273" t="s">
        <v>350</v>
      </c>
      <c r="AQ273" t="s">
        <v>368</v>
      </c>
      <c r="AR273" t="s">
        <v>369</v>
      </c>
      <c r="AS273">
        <v>4650</v>
      </c>
      <c r="AT273" t="s">
        <v>367</v>
      </c>
      <c r="AU273" t="s">
        <v>367</v>
      </c>
      <c r="AV273" t="s">
        <v>367</v>
      </c>
      <c r="AW273" t="s">
        <v>349</v>
      </c>
      <c r="AX273" t="s">
        <v>349</v>
      </c>
      <c r="AY273" t="s">
        <v>349</v>
      </c>
      <c r="AZ273" t="s">
        <v>349</v>
      </c>
      <c r="BA273" t="s">
        <v>349</v>
      </c>
      <c r="BB273" t="s">
        <v>349</v>
      </c>
      <c r="BC273">
        <v>2</v>
      </c>
    </row>
    <row r="274" spans="1:55" ht="15" customHeight="1" x14ac:dyDescent="0.35">
      <c r="A274" t="s">
        <v>995</v>
      </c>
      <c r="B274" t="s">
        <v>1678</v>
      </c>
      <c r="C274" t="s">
        <v>308</v>
      </c>
      <c r="D274" t="s">
        <v>108</v>
      </c>
      <c r="E274">
        <v>1997</v>
      </c>
      <c r="F274" t="s">
        <v>309</v>
      </c>
      <c r="G274" t="s">
        <v>335</v>
      </c>
      <c r="H274" t="s">
        <v>335</v>
      </c>
      <c r="I274" t="s">
        <v>335</v>
      </c>
      <c r="J274" t="s">
        <v>339</v>
      </c>
      <c r="K274" t="s">
        <v>335</v>
      </c>
      <c r="L274" t="s">
        <v>335</v>
      </c>
      <c r="M274" t="s">
        <v>352</v>
      </c>
      <c r="N274" t="s">
        <v>335</v>
      </c>
      <c r="P274" t="s">
        <v>387</v>
      </c>
      <c r="Q274" t="s">
        <v>627</v>
      </c>
      <c r="R274" t="s">
        <v>628</v>
      </c>
      <c r="S274" t="s">
        <v>624</v>
      </c>
      <c r="T274" t="s">
        <v>1235</v>
      </c>
      <c r="U274" t="s">
        <v>506</v>
      </c>
      <c r="V274">
        <v>63.07</v>
      </c>
      <c r="W274">
        <v>-150.30000000000001</v>
      </c>
      <c r="X274">
        <v>1686</v>
      </c>
      <c r="Y274" t="s">
        <v>962</v>
      </c>
      <c r="AA274" t="s">
        <v>393</v>
      </c>
      <c r="AB274" t="s">
        <v>393</v>
      </c>
      <c r="AC274" t="s">
        <v>1237</v>
      </c>
      <c r="AD274" t="s">
        <v>961</v>
      </c>
      <c r="AE274" t="s">
        <v>354</v>
      </c>
      <c r="AF274" t="s">
        <v>346</v>
      </c>
      <c r="AG274" t="s">
        <v>346</v>
      </c>
      <c r="AH274" t="s">
        <v>346</v>
      </c>
      <c r="AI274" t="s">
        <v>346</v>
      </c>
      <c r="AJ274" t="s">
        <v>339</v>
      </c>
      <c r="AK274">
        <v>33</v>
      </c>
      <c r="AL274" t="s">
        <v>377</v>
      </c>
      <c r="AM274" t="s">
        <v>339</v>
      </c>
      <c r="AN274" t="s">
        <v>348</v>
      </c>
      <c r="AO274" t="s">
        <v>367</v>
      </c>
      <c r="AP274" t="s">
        <v>350</v>
      </c>
      <c r="AQ274" t="s">
        <v>368</v>
      </c>
      <c r="AR274" t="s">
        <v>369</v>
      </c>
      <c r="AS274">
        <v>4650</v>
      </c>
      <c r="AT274" t="s">
        <v>367</v>
      </c>
      <c r="AU274" t="s">
        <v>367</v>
      </c>
      <c r="AV274" t="s">
        <v>367</v>
      </c>
      <c r="AW274" t="s">
        <v>349</v>
      </c>
      <c r="AX274" t="s">
        <v>349</v>
      </c>
      <c r="AY274" t="s">
        <v>349</v>
      </c>
      <c r="AZ274" t="s">
        <v>349</v>
      </c>
      <c r="BA274" t="s">
        <v>349</v>
      </c>
      <c r="BB274" t="s">
        <v>349</v>
      </c>
      <c r="BC274">
        <v>2</v>
      </c>
    </row>
    <row r="275" spans="1:55" ht="15" customHeight="1" x14ac:dyDescent="0.35">
      <c r="A275" t="s">
        <v>995</v>
      </c>
      <c r="B275" t="s">
        <v>1679</v>
      </c>
      <c r="C275" t="s">
        <v>310</v>
      </c>
      <c r="D275" t="s">
        <v>311</v>
      </c>
      <c r="E275">
        <v>2001</v>
      </c>
      <c r="F275" t="s">
        <v>312</v>
      </c>
      <c r="G275" t="s">
        <v>335</v>
      </c>
      <c r="H275" t="s">
        <v>335</v>
      </c>
      <c r="I275" t="s">
        <v>335</v>
      </c>
      <c r="J275" t="s">
        <v>339</v>
      </c>
      <c r="K275" t="s">
        <v>335</v>
      </c>
      <c r="L275" t="s">
        <v>335</v>
      </c>
      <c r="M275" t="s">
        <v>352</v>
      </c>
      <c r="N275" t="s">
        <v>335</v>
      </c>
      <c r="P275" t="s">
        <v>379</v>
      </c>
      <c r="Q275" t="s">
        <v>380</v>
      </c>
      <c r="R275" t="s">
        <v>964</v>
      </c>
      <c r="S275" t="s">
        <v>963</v>
      </c>
      <c r="T275" t="s">
        <v>348</v>
      </c>
      <c r="U275" t="s">
        <v>344</v>
      </c>
      <c r="V275">
        <v>43.13</v>
      </c>
      <c r="W275">
        <v>141.19999999999999</v>
      </c>
      <c r="X275">
        <v>158</v>
      </c>
      <c r="Y275">
        <v>1993</v>
      </c>
      <c r="Z275" t="s">
        <v>1363</v>
      </c>
      <c r="AA275" t="s">
        <v>1236</v>
      </c>
      <c r="AB275" t="s">
        <v>611</v>
      </c>
      <c r="AC275" t="s">
        <v>366</v>
      </c>
      <c r="AD275" t="s">
        <v>433</v>
      </c>
      <c r="AE275" t="s">
        <v>364</v>
      </c>
      <c r="AF275" t="s">
        <v>346</v>
      </c>
      <c r="AG275" t="s">
        <v>346</v>
      </c>
      <c r="AH275" t="s">
        <v>346</v>
      </c>
      <c r="AI275" t="s">
        <v>346</v>
      </c>
      <c r="AJ275" t="s">
        <v>339</v>
      </c>
      <c r="AK275">
        <v>27</v>
      </c>
      <c r="AL275" t="s">
        <v>377</v>
      </c>
      <c r="AM275" t="s">
        <v>366</v>
      </c>
      <c r="AN275" t="s">
        <v>348</v>
      </c>
      <c r="AO275" t="s">
        <v>367</v>
      </c>
      <c r="AP275" t="s">
        <v>386</v>
      </c>
      <c r="AQ275" t="s">
        <v>368</v>
      </c>
      <c r="AR275" t="s">
        <v>369</v>
      </c>
      <c r="AS275">
        <v>43</v>
      </c>
      <c r="AT275" t="s">
        <v>349</v>
      </c>
      <c r="AU275" t="s">
        <v>349</v>
      </c>
      <c r="AV275" t="s">
        <v>367</v>
      </c>
      <c r="AW275" t="s">
        <v>349</v>
      </c>
      <c r="AX275" t="s">
        <v>349</v>
      </c>
      <c r="AY275" t="s">
        <v>349</v>
      </c>
      <c r="AZ275" t="s">
        <v>349</v>
      </c>
      <c r="BA275" t="s">
        <v>349</v>
      </c>
      <c r="BB275" t="s">
        <v>367</v>
      </c>
      <c r="BC275">
        <v>5</v>
      </c>
    </row>
    <row r="276" spans="1:55" ht="15" customHeight="1" x14ac:dyDescent="0.35">
      <c r="A276" t="s">
        <v>995</v>
      </c>
      <c r="B276" t="s">
        <v>1680</v>
      </c>
      <c r="C276" t="s">
        <v>313</v>
      </c>
      <c r="D276" t="s">
        <v>94</v>
      </c>
      <c r="E276" t="str">
        <f>"May2019"</f>
        <v>May2019</v>
      </c>
      <c r="F276" t="s">
        <v>314</v>
      </c>
      <c r="G276" t="s">
        <v>335</v>
      </c>
      <c r="H276" t="s">
        <v>335</v>
      </c>
      <c r="I276" t="s">
        <v>335</v>
      </c>
      <c r="J276" t="s">
        <v>339</v>
      </c>
      <c r="K276" t="s">
        <v>335</v>
      </c>
      <c r="L276" t="s">
        <v>335</v>
      </c>
      <c r="M276" t="s">
        <v>335</v>
      </c>
      <c r="N276" t="s">
        <v>335</v>
      </c>
      <c r="P276" t="s">
        <v>632</v>
      </c>
      <c r="Q276" t="s">
        <v>1369</v>
      </c>
      <c r="R276" t="s">
        <v>1370</v>
      </c>
      <c r="S276" t="s">
        <v>1368</v>
      </c>
      <c r="T276" t="s">
        <v>1249</v>
      </c>
      <c r="U276" t="s">
        <v>422</v>
      </c>
      <c r="V276">
        <v>33.483333000000002</v>
      </c>
      <c r="W276">
        <v>-119.033333</v>
      </c>
      <c r="X276">
        <v>50</v>
      </c>
      <c r="Y276" t="s">
        <v>1374</v>
      </c>
      <c r="Z276" t="s">
        <v>1373</v>
      </c>
      <c r="AA276" t="s">
        <v>393</v>
      </c>
      <c r="AB276" t="s">
        <v>1371</v>
      </c>
      <c r="AC276" t="s">
        <v>1237</v>
      </c>
      <c r="AD276" t="s">
        <v>1372</v>
      </c>
      <c r="AE276" t="s">
        <v>345</v>
      </c>
      <c r="AF276">
        <v>0.189</v>
      </c>
      <c r="AG276" t="s">
        <v>346</v>
      </c>
      <c r="AH276" t="s">
        <v>346</v>
      </c>
      <c r="AI276" t="s">
        <v>346</v>
      </c>
      <c r="AJ276" t="s">
        <v>592</v>
      </c>
      <c r="AK276">
        <v>1368</v>
      </c>
      <c r="AL276" t="s">
        <v>417</v>
      </c>
      <c r="AN276" t="s">
        <v>410</v>
      </c>
      <c r="AO276" t="s">
        <v>367</v>
      </c>
      <c r="AP276" t="s">
        <v>411</v>
      </c>
      <c r="AQ276" t="s">
        <v>351</v>
      </c>
      <c r="AR276" t="s">
        <v>369</v>
      </c>
      <c r="AS276">
        <v>165</v>
      </c>
      <c r="AT276" t="s">
        <v>367</v>
      </c>
      <c r="AU276" t="s">
        <v>367</v>
      </c>
      <c r="AV276" t="s">
        <v>367</v>
      </c>
      <c r="AW276" t="s">
        <v>367</v>
      </c>
      <c r="AX276" t="s">
        <v>349</v>
      </c>
      <c r="AY276" t="s">
        <v>367</v>
      </c>
      <c r="AZ276" t="s">
        <v>367</v>
      </c>
      <c r="BA276" t="s">
        <v>367</v>
      </c>
      <c r="BB276" t="s">
        <v>367</v>
      </c>
      <c r="BC276">
        <v>2</v>
      </c>
    </row>
    <row r="277" spans="1:55" ht="15" customHeight="1" x14ac:dyDescent="0.35">
      <c r="A277" t="s">
        <v>995</v>
      </c>
      <c r="B277" t="s">
        <v>1681</v>
      </c>
      <c r="C277" t="s">
        <v>1401</v>
      </c>
      <c r="D277" t="s">
        <v>1402</v>
      </c>
      <c r="E277">
        <v>2023</v>
      </c>
      <c r="F277" t="s">
        <v>1403</v>
      </c>
      <c r="G277" t="s">
        <v>335</v>
      </c>
      <c r="H277" t="s">
        <v>352</v>
      </c>
      <c r="I277" t="s">
        <v>335</v>
      </c>
      <c r="J277" t="s">
        <v>339</v>
      </c>
      <c r="K277" t="s">
        <v>335</v>
      </c>
      <c r="L277" t="s">
        <v>352</v>
      </c>
      <c r="M277" t="s">
        <v>352</v>
      </c>
      <c r="N277" t="s">
        <v>352</v>
      </c>
      <c r="P277" t="s">
        <v>1706</v>
      </c>
      <c r="Q277" t="s">
        <v>924</v>
      </c>
      <c r="R277" t="s">
        <v>1506</v>
      </c>
      <c r="S277" t="s">
        <v>1505</v>
      </c>
      <c r="T277" t="s">
        <v>348</v>
      </c>
      <c r="U277" t="s">
        <v>905</v>
      </c>
      <c r="V277">
        <v>21.123892999999999</v>
      </c>
      <c r="W277">
        <v>110.190155</v>
      </c>
      <c r="X277">
        <v>30</v>
      </c>
      <c r="Y277" t="s">
        <v>1507</v>
      </c>
      <c r="Z277" t="s">
        <v>1508</v>
      </c>
      <c r="AA277" t="s">
        <v>1236</v>
      </c>
      <c r="AB277" t="s">
        <v>363</v>
      </c>
      <c r="AC277" t="s">
        <v>366</v>
      </c>
      <c r="AD277" t="s">
        <v>1510</v>
      </c>
      <c r="AE277" t="s">
        <v>354</v>
      </c>
      <c r="AF277">
        <v>1E-3</v>
      </c>
      <c r="AG277">
        <v>1E-3</v>
      </c>
      <c r="AH277" t="s">
        <v>346</v>
      </c>
      <c r="AI277" t="s">
        <v>346</v>
      </c>
      <c r="AJ277" t="s">
        <v>592</v>
      </c>
      <c r="AK277">
        <v>411</v>
      </c>
      <c r="AL277" t="s">
        <v>377</v>
      </c>
      <c r="AM277" t="s">
        <v>366</v>
      </c>
      <c r="AN277" t="s">
        <v>348</v>
      </c>
      <c r="AO277" t="s">
        <v>367</v>
      </c>
      <c r="AP277" t="s">
        <v>927</v>
      </c>
      <c r="AQ277" t="s">
        <v>368</v>
      </c>
      <c r="AR277" t="s">
        <v>369</v>
      </c>
      <c r="AS277">
        <v>20</v>
      </c>
      <c r="AT277" t="s">
        <v>349</v>
      </c>
      <c r="AU277" t="s">
        <v>349</v>
      </c>
      <c r="AV277" t="s">
        <v>367</v>
      </c>
      <c r="AW277" t="s">
        <v>367</v>
      </c>
      <c r="AX277" t="s">
        <v>367</v>
      </c>
      <c r="AY277" t="s">
        <v>367</v>
      </c>
      <c r="AZ277" t="s">
        <v>367</v>
      </c>
      <c r="BA277" t="s">
        <v>367</v>
      </c>
      <c r="BB277" t="s">
        <v>367</v>
      </c>
      <c r="BC277">
        <v>4.5</v>
      </c>
    </row>
    <row r="278" spans="1:55" ht="15" customHeight="1" x14ac:dyDescent="0.35">
      <c r="A278" t="s">
        <v>995</v>
      </c>
      <c r="B278" t="s">
        <v>1681</v>
      </c>
      <c r="C278" t="s">
        <v>1401</v>
      </c>
      <c r="D278" t="s">
        <v>1402</v>
      </c>
      <c r="E278">
        <v>2023</v>
      </c>
      <c r="F278" t="s">
        <v>1403</v>
      </c>
      <c r="G278" t="s">
        <v>335</v>
      </c>
      <c r="H278" t="s">
        <v>352</v>
      </c>
      <c r="I278" t="s">
        <v>335</v>
      </c>
      <c r="J278" t="s">
        <v>339</v>
      </c>
      <c r="K278" t="s">
        <v>335</v>
      </c>
      <c r="L278" t="s">
        <v>352</v>
      </c>
      <c r="M278" t="s">
        <v>352</v>
      </c>
      <c r="N278" t="s">
        <v>352</v>
      </c>
      <c r="P278" t="s">
        <v>1706</v>
      </c>
      <c r="Q278" t="s">
        <v>924</v>
      </c>
      <c r="R278" t="s">
        <v>1506</v>
      </c>
      <c r="S278" t="s">
        <v>1505</v>
      </c>
      <c r="T278" t="s">
        <v>348</v>
      </c>
      <c r="U278" t="s">
        <v>905</v>
      </c>
      <c r="V278">
        <v>21.123892999999999</v>
      </c>
      <c r="W278">
        <v>110.190155</v>
      </c>
      <c r="X278">
        <v>30</v>
      </c>
      <c r="Y278" t="s">
        <v>1507</v>
      </c>
      <c r="Z278" t="s">
        <v>1508</v>
      </c>
      <c r="AA278" t="s">
        <v>1236</v>
      </c>
      <c r="AB278" t="s">
        <v>512</v>
      </c>
      <c r="AC278" t="s">
        <v>366</v>
      </c>
      <c r="AD278" t="s">
        <v>1509</v>
      </c>
      <c r="AE278" t="s">
        <v>354</v>
      </c>
      <c r="AF278">
        <v>1E-3</v>
      </c>
      <c r="AG278">
        <v>1E-3</v>
      </c>
      <c r="AH278" t="s">
        <v>346</v>
      </c>
      <c r="AI278" t="s">
        <v>346</v>
      </c>
      <c r="AJ278" t="s">
        <v>592</v>
      </c>
      <c r="AK278">
        <v>523</v>
      </c>
      <c r="AL278" t="s">
        <v>377</v>
      </c>
      <c r="AM278" t="s">
        <v>366</v>
      </c>
      <c r="AN278" t="s">
        <v>348</v>
      </c>
      <c r="AO278" t="s">
        <v>367</v>
      </c>
      <c r="AP278" t="s">
        <v>927</v>
      </c>
      <c r="AQ278" t="s">
        <v>368</v>
      </c>
      <c r="AR278" t="s">
        <v>369</v>
      </c>
      <c r="AS278">
        <v>20</v>
      </c>
      <c r="AT278" t="s">
        <v>349</v>
      </c>
      <c r="AU278" t="s">
        <v>349</v>
      </c>
      <c r="AV278" t="s">
        <v>367</v>
      </c>
      <c r="AW278" t="s">
        <v>367</v>
      </c>
      <c r="AX278" t="s">
        <v>367</v>
      </c>
      <c r="AY278" t="s">
        <v>367</v>
      </c>
      <c r="AZ278" t="s">
        <v>367</v>
      </c>
      <c r="BA278" t="s">
        <v>367</v>
      </c>
      <c r="BB278" t="s">
        <v>367</v>
      </c>
      <c r="BC278">
        <v>4.5</v>
      </c>
    </row>
    <row r="279" spans="1:55" ht="15" customHeight="1" x14ac:dyDescent="0.35">
      <c r="A279" t="s">
        <v>995</v>
      </c>
      <c r="B279" t="s">
        <v>1681</v>
      </c>
      <c r="C279" t="s">
        <v>1401</v>
      </c>
      <c r="D279" t="s">
        <v>1402</v>
      </c>
      <c r="E279">
        <v>2023</v>
      </c>
      <c r="F279" t="s">
        <v>1403</v>
      </c>
      <c r="G279" t="s">
        <v>335</v>
      </c>
      <c r="H279" t="s">
        <v>352</v>
      </c>
      <c r="I279" t="s">
        <v>335</v>
      </c>
      <c r="J279" t="s">
        <v>339</v>
      </c>
      <c r="K279" t="s">
        <v>335</v>
      </c>
      <c r="L279" t="s">
        <v>352</v>
      </c>
      <c r="M279" t="s">
        <v>352</v>
      </c>
      <c r="N279" t="s">
        <v>352</v>
      </c>
      <c r="P279" t="s">
        <v>1706</v>
      </c>
      <c r="Q279" t="s">
        <v>924</v>
      </c>
      <c r="R279" t="s">
        <v>1506</v>
      </c>
      <c r="S279" t="s">
        <v>1505</v>
      </c>
      <c r="T279" t="s">
        <v>348</v>
      </c>
      <c r="U279" t="s">
        <v>905</v>
      </c>
      <c r="V279">
        <v>40.976562999999999</v>
      </c>
      <c r="W279">
        <v>121.640232</v>
      </c>
      <c r="X279">
        <v>15</v>
      </c>
      <c r="Y279" t="s">
        <v>1408</v>
      </c>
      <c r="Z279" t="s">
        <v>1508</v>
      </c>
      <c r="AA279" t="s">
        <v>1236</v>
      </c>
      <c r="AB279" t="s">
        <v>363</v>
      </c>
      <c r="AC279" t="s">
        <v>366</v>
      </c>
      <c r="AD279" t="s">
        <v>1510</v>
      </c>
      <c r="AE279" t="s">
        <v>354</v>
      </c>
      <c r="AF279">
        <v>-5.0000000000000001E-3</v>
      </c>
      <c r="AG279">
        <v>5.0000000000000001E-3</v>
      </c>
      <c r="AH279" t="s">
        <v>346</v>
      </c>
      <c r="AI279" t="s">
        <v>346</v>
      </c>
      <c r="AJ279" t="s">
        <v>592</v>
      </c>
      <c r="AK279">
        <v>98</v>
      </c>
      <c r="AL279" t="s">
        <v>377</v>
      </c>
      <c r="AM279" t="s">
        <v>366</v>
      </c>
      <c r="AN279" t="s">
        <v>348</v>
      </c>
      <c r="AO279" t="s">
        <v>367</v>
      </c>
      <c r="AP279" t="s">
        <v>927</v>
      </c>
      <c r="AQ279" t="s">
        <v>368</v>
      </c>
      <c r="AR279" t="s">
        <v>369</v>
      </c>
      <c r="AS279">
        <v>20</v>
      </c>
      <c r="AT279" t="s">
        <v>349</v>
      </c>
      <c r="AU279" t="s">
        <v>349</v>
      </c>
      <c r="AV279" t="s">
        <v>367</v>
      </c>
      <c r="AW279" t="s">
        <v>367</v>
      </c>
      <c r="AX279" t="s">
        <v>367</v>
      </c>
      <c r="AY279" t="s">
        <v>367</v>
      </c>
      <c r="AZ279" t="s">
        <v>367</v>
      </c>
      <c r="BA279" t="s">
        <v>367</v>
      </c>
      <c r="BB279" t="s">
        <v>367</v>
      </c>
      <c r="BC279">
        <v>4.5</v>
      </c>
    </row>
    <row r="280" spans="1:55" ht="15" customHeight="1" x14ac:dyDescent="0.35">
      <c r="A280" t="s">
        <v>995</v>
      </c>
      <c r="B280" t="s">
        <v>1681</v>
      </c>
      <c r="C280" t="s">
        <v>1401</v>
      </c>
      <c r="D280" t="s">
        <v>1402</v>
      </c>
      <c r="E280">
        <v>2023</v>
      </c>
      <c r="F280" t="s">
        <v>1403</v>
      </c>
      <c r="G280" t="s">
        <v>335</v>
      </c>
      <c r="H280" t="s">
        <v>352</v>
      </c>
      <c r="I280" t="s">
        <v>335</v>
      </c>
      <c r="J280" t="s">
        <v>339</v>
      </c>
      <c r="K280" t="s">
        <v>335</v>
      </c>
      <c r="L280" t="s">
        <v>352</v>
      </c>
      <c r="M280" t="s">
        <v>352</v>
      </c>
      <c r="N280" t="s">
        <v>352</v>
      </c>
      <c r="P280" t="s">
        <v>1706</v>
      </c>
      <c r="Q280" t="s">
        <v>924</v>
      </c>
      <c r="R280" t="s">
        <v>1506</v>
      </c>
      <c r="S280" t="s">
        <v>1505</v>
      </c>
      <c r="T280" t="s">
        <v>348</v>
      </c>
      <c r="U280" t="s">
        <v>905</v>
      </c>
      <c r="V280">
        <v>40.976562999999999</v>
      </c>
      <c r="W280">
        <v>121.640232</v>
      </c>
      <c r="X280">
        <v>15</v>
      </c>
      <c r="Y280" t="s">
        <v>1408</v>
      </c>
      <c r="Z280" t="s">
        <v>1508</v>
      </c>
      <c r="AA280" t="s">
        <v>1236</v>
      </c>
      <c r="AB280" t="s">
        <v>512</v>
      </c>
      <c r="AC280" t="s">
        <v>366</v>
      </c>
      <c r="AD280" t="s">
        <v>1509</v>
      </c>
      <c r="AE280" t="s">
        <v>354</v>
      </c>
      <c r="AF280">
        <v>-1E-3</v>
      </c>
      <c r="AG280">
        <v>4.0000000000000001E-3</v>
      </c>
      <c r="AH280" t="s">
        <v>346</v>
      </c>
      <c r="AI280" t="s">
        <v>346</v>
      </c>
      <c r="AJ280" t="s">
        <v>592</v>
      </c>
      <c r="AK280">
        <v>245</v>
      </c>
      <c r="AL280" t="s">
        <v>377</v>
      </c>
      <c r="AM280" t="s">
        <v>366</v>
      </c>
      <c r="AN280" t="s">
        <v>348</v>
      </c>
      <c r="AO280" t="s">
        <v>367</v>
      </c>
      <c r="AP280" t="s">
        <v>927</v>
      </c>
      <c r="AQ280" t="s">
        <v>368</v>
      </c>
      <c r="AR280" t="s">
        <v>369</v>
      </c>
      <c r="AS280">
        <v>20</v>
      </c>
      <c r="AT280" t="s">
        <v>349</v>
      </c>
      <c r="AU280" t="s">
        <v>349</v>
      </c>
      <c r="AV280" t="s">
        <v>367</v>
      </c>
      <c r="AW280" t="s">
        <v>367</v>
      </c>
      <c r="AX280" t="s">
        <v>367</v>
      </c>
      <c r="AY280" t="s">
        <v>367</v>
      </c>
      <c r="AZ280" t="s">
        <v>367</v>
      </c>
      <c r="BA280" t="s">
        <v>367</v>
      </c>
      <c r="BB280" t="s">
        <v>367</v>
      </c>
      <c r="BC280">
        <v>4.5</v>
      </c>
    </row>
    <row r="281" spans="1:55" ht="15" customHeight="1" x14ac:dyDescent="0.35">
      <c r="A281" t="s">
        <v>995</v>
      </c>
      <c r="B281" t="s">
        <v>1682</v>
      </c>
      <c r="C281" t="s">
        <v>315</v>
      </c>
      <c r="D281" t="s">
        <v>32</v>
      </c>
      <c r="E281">
        <v>2020</v>
      </c>
      <c r="F281" t="s">
        <v>316</v>
      </c>
      <c r="G281" t="s">
        <v>335</v>
      </c>
      <c r="H281" t="s">
        <v>335</v>
      </c>
      <c r="I281" t="s">
        <v>335</v>
      </c>
      <c r="J281" t="s">
        <v>339</v>
      </c>
      <c r="K281" t="s">
        <v>335</v>
      </c>
      <c r="L281" t="s">
        <v>335</v>
      </c>
      <c r="M281" t="s">
        <v>352</v>
      </c>
      <c r="N281" t="s">
        <v>352</v>
      </c>
      <c r="P281" t="s">
        <v>480</v>
      </c>
      <c r="Q281" t="s">
        <v>714</v>
      </c>
      <c r="R281" t="s">
        <v>715</v>
      </c>
      <c r="S281" t="s">
        <v>711</v>
      </c>
      <c r="T281" t="s">
        <v>1235</v>
      </c>
      <c r="U281" t="s">
        <v>378</v>
      </c>
      <c r="V281">
        <v>45.683318999999997</v>
      </c>
      <c r="W281">
        <v>-96.942603000000005</v>
      </c>
      <c r="X281">
        <v>450</v>
      </c>
      <c r="Y281" t="s">
        <v>777</v>
      </c>
      <c r="Z281" t="s">
        <v>1364</v>
      </c>
      <c r="AA281" t="s">
        <v>1247</v>
      </c>
      <c r="AB281" t="s">
        <v>400</v>
      </c>
      <c r="AC281" t="s">
        <v>366</v>
      </c>
      <c r="AD281" t="s">
        <v>433</v>
      </c>
      <c r="AE281" t="s">
        <v>345</v>
      </c>
      <c r="AF281">
        <v>1.07</v>
      </c>
      <c r="AG281" t="s">
        <v>346</v>
      </c>
      <c r="AH281">
        <v>0.43</v>
      </c>
      <c r="AI281">
        <v>1.97</v>
      </c>
      <c r="AJ281" t="s">
        <v>965</v>
      </c>
      <c r="AK281">
        <v>147</v>
      </c>
      <c r="AL281" t="s">
        <v>377</v>
      </c>
      <c r="AM281" t="s">
        <v>347</v>
      </c>
      <c r="AN281" t="s">
        <v>348</v>
      </c>
      <c r="AO281" t="s">
        <v>349</v>
      </c>
      <c r="AP281" t="s">
        <v>355</v>
      </c>
      <c r="AQ281" t="s">
        <v>351</v>
      </c>
      <c r="AR281" t="s">
        <v>356</v>
      </c>
      <c r="AS281">
        <v>6800</v>
      </c>
      <c r="AT281" t="s">
        <v>349</v>
      </c>
      <c r="AU281" t="s">
        <v>349</v>
      </c>
      <c r="AV281" t="s">
        <v>367</v>
      </c>
      <c r="AW281" t="s">
        <v>367</v>
      </c>
      <c r="AX281" t="s">
        <v>367</v>
      </c>
      <c r="AY281" t="s">
        <v>367</v>
      </c>
      <c r="AZ281" t="s">
        <v>367</v>
      </c>
      <c r="BA281" t="s">
        <v>367</v>
      </c>
      <c r="BB281" t="s">
        <v>367</v>
      </c>
      <c r="BC281">
        <v>11</v>
      </c>
    </row>
    <row r="282" spans="1:55" ht="15" customHeight="1" x14ac:dyDescent="0.35">
      <c r="A282" t="s">
        <v>995</v>
      </c>
      <c r="B282" t="s">
        <v>1683</v>
      </c>
      <c r="C282" t="s">
        <v>317</v>
      </c>
      <c r="D282" t="s">
        <v>49</v>
      </c>
      <c r="E282">
        <v>2018</v>
      </c>
      <c r="F282" t="s">
        <v>318</v>
      </c>
      <c r="G282" t="s">
        <v>335</v>
      </c>
      <c r="H282" t="s">
        <v>335</v>
      </c>
      <c r="I282" t="s">
        <v>335</v>
      </c>
      <c r="J282" t="s">
        <v>339</v>
      </c>
      <c r="K282" t="s">
        <v>335</v>
      </c>
      <c r="L282" t="s">
        <v>335</v>
      </c>
      <c r="M282" t="s">
        <v>352</v>
      </c>
      <c r="N282" t="s">
        <v>352</v>
      </c>
      <c r="P282" t="s">
        <v>967</v>
      </c>
      <c r="Q282" t="s">
        <v>968</v>
      </c>
      <c r="R282" t="s">
        <v>969</v>
      </c>
      <c r="S282" t="s">
        <v>966</v>
      </c>
      <c r="T282" t="s">
        <v>1249</v>
      </c>
      <c r="U282" t="s">
        <v>422</v>
      </c>
      <c r="V282">
        <v>70.773432999999997</v>
      </c>
      <c r="W282">
        <v>-155.30507499999999</v>
      </c>
      <c r="X282">
        <v>1</v>
      </c>
      <c r="Y282" t="s">
        <v>813</v>
      </c>
      <c r="Z282" t="s">
        <v>1365</v>
      </c>
      <c r="AA282" t="s">
        <v>1236</v>
      </c>
      <c r="AB282" t="s">
        <v>1257</v>
      </c>
      <c r="AC282" t="s">
        <v>1241</v>
      </c>
      <c r="AD282" t="s">
        <v>1258</v>
      </c>
      <c r="AE282" t="s">
        <v>354</v>
      </c>
      <c r="AF282">
        <v>-0.11</v>
      </c>
      <c r="AG282" t="s">
        <v>346</v>
      </c>
      <c r="AH282">
        <v>-0.22</v>
      </c>
      <c r="AI282">
        <v>0.01</v>
      </c>
      <c r="AJ282" t="s">
        <v>592</v>
      </c>
      <c r="AK282">
        <v>33</v>
      </c>
      <c r="AL282" t="s">
        <v>377</v>
      </c>
      <c r="AM282" t="s">
        <v>339</v>
      </c>
      <c r="AN282" t="s">
        <v>348</v>
      </c>
      <c r="AO282" t="s">
        <v>349</v>
      </c>
      <c r="AP282" t="s">
        <v>355</v>
      </c>
      <c r="AQ282" t="s">
        <v>351</v>
      </c>
      <c r="AR282" t="s">
        <v>369</v>
      </c>
      <c r="AS282">
        <v>1810</v>
      </c>
      <c r="AT282" t="s">
        <v>349</v>
      </c>
      <c r="AU282" t="s">
        <v>349</v>
      </c>
      <c r="AV282" t="s">
        <v>367</v>
      </c>
      <c r="AW282" t="s">
        <v>367</v>
      </c>
      <c r="AX282" t="s">
        <v>349</v>
      </c>
      <c r="AY282" t="s">
        <v>367</v>
      </c>
      <c r="AZ282" t="s">
        <v>367</v>
      </c>
      <c r="BA282" t="s">
        <v>367</v>
      </c>
      <c r="BB282" t="s">
        <v>367</v>
      </c>
      <c r="BC282">
        <v>2</v>
      </c>
    </row>
    <row r="283" spans="1:55" ht="15" customHeight="1" x14ac:dyDescent="0.35">
      <c r="A283" t="s">
        <v>995</v>
      </c>
      <c r="B283" t="s">
        <v>1684</v>
      </c>
      <c r="C283" t="s">
        <v>319</v>
      </c>
      <c r="D283" t="s">
        <v>114</v>
      </c>
      <c r="E283">
        <v>2012</v>
      </c>
      <c r="F283" t="s">
        <v>320</v>
      </c>
      <c r="G283" t="s">
        <v>335</v>
      </c>
      <c r="H283" t="s">
        <v>335</v>
      </c>
      <c r="I283" t="s">
        <v>335</v>
      </c>
      <c r="J283" t="s">
        <v>339</v>
      </c>
      <c r="K283" t="s">
        <v>335</v>
      </c>
      <c r="L283" t="s">
        <v>335</v>
      </c>
      <c r="M283" t="s">
        <v>352</v>
      </c>
      <c r="N283" t="s">
        <v>335</v>
      </c>
      <c r="P283" t="s">
        <v>387</v>
      </c>
      <c r="Q283" t="s">
        <v>973</v>
      </c>
      <c r="R283" t="s">
        <v>974</v>
      </c>
      <c r="S283" t="s">
        <v>971</v>
      </c>
      <c r="T283" t="s">
        <v>1235</v>
      </c>
      <c r="U283" t="s">
        <v>1280</v>
      </c>
      <c r="V283">
        <v>58.514923000000003</v>
      </c>
      <c r="W283">
        <v>25.985254000000001</v>
      </c>
      <c r="X283">
        <v>50</v>
      </c>
      <c r="Y283" t="s">
        <v>970</v>
      </c>
      <c r="AA283" t="s">
        <v>393</v>
      </c>
      <c r="AB283" t="s">
        <v>393</v>
      </c>
      <c r="AC283" t="s">
        <v>1237</v>
      </c>
      <c r="AD283" t="s">
        <v>1261</v>
      </c>
      <c r="AE283" t="s">
        <v>345</v>
      </c>
      <c r="AF283" t="s">
        <v>346</v>
      </c>
      <c r="AG283" t="s">
        <v>346</v>
      </c>
      <c r="AH283" t="s">
        <v>346</v>
      </c>
      <c r="AI283" t="s">
        <v>346</v>
      </c>
      <c r="AJ283" t="s">
        <v>339</v>
      </c>
      <c r="AK283">
        <v>359</v>
      </c>
      <c r="AL283" t="s">
        <v>972</v>
      </c>
      <c r="AM283" t="s">
        <v>347</v>
      </c>
      <c r="AN283" t="s">
        <v>348</v>
      </c>
      <c r="AO283" t="s">
        <v>367</v>
      </c>
      <c r="AP283" t="s">
        <v>350</v>
      </c>
      <c r="AQ283" t="s">
        <v>368</v>
      </c>
      <c r="AR283" t="s">
        <v>369</v>
      </c>
      <c r="AS283">
        <v>1600</v>
      </c>
      <c r="AT283" t="s">
        <v>349</v>
      </c>
      <c r="AU283" t="s">
        <v>367</v>
      </c>
      <c r="AV283" t="s">
        <v>367</v>
      </c>
      <c r="AW283" t="s">
        <v>349</v>
      </c>
      <c r="AX283" t="s">
        <v>367</v>
      </c>
      <c r="AY283" t="s">
        <v>349</v>
      </c>
      <c r="AZ283" t="s">
        <v>349</v>
      </c>
      <c r="BA283" t="s">
        <v>349</v>
      </c>
      <c r="BB283" t="s">
        <v>367</v>
      </c>
      <c r="BC283">
        <v>2</v>
      </c>
    </row>
    <row r="284" spans="1:55" ht="15" customHeight="1" x14ac:dyDescent="0.35">
      <c r="A284" t="s">
        <v>995</v>
      </c>
      <c r="B284" t="s">
        <v>1685</v>
      </c>
      <c r="C284" t="s">
        <v>321</v>
      </c>
      <c r="D284" t="s">
        <v>18</v>
      </c>
      <c r="E284">
        <v>2020</v>
      </c>
      <c r="F284" t="s">
        <v>322</v>
      </c>
      <c r="G284" t="s">
        <v>335</v>
      </c>
      <c r="H284" t="s">
        <v>335</v>
      </c>
      <c r="I284" t="s">
        <v>335</v>
      </c>
      <c r="J284" t="s">
        <v>339</v>
      </c>
      <c r="K284" t="s">
        <v>335</v>
      </c>
      <c r="L284" t="s">
        <v>335</v>
      </c>
      <c r="M284" t="s">
        <v>352</v>
      </c>
      <c r="N284" t="s">
        <v>335</v>
      </c>
      <c r="P284" t="s">
        <v>978</v>
      </c>
      <c r="Q284" t="s">
        <v>980</v>
      </c>
      <c r="R284" t="s">
        <v>981</v>
      </c>
      <c r="S284" t="s">
        <v>979</v>
      </c>
      <c r="T284" t="s">
        <v>1235</v>
      </c>
      <c r="U284" t="s">
        <v>665</v>
      </c>
      <c r="V284">
        <v>21.457961000000001</v>
      </c>
      <c r="W284">
        <v>-157.96254500000001</v>
      </c>
      <c r="X284">
        <v>277</v>
      </c>
      <c r="Y284" t="s">
        <v>977</v>
      </c>
      <c r="Z284" t="s">
        <v>976</v>
      </c>
      <c r="AA284" t="s">
        <v>393</v>
      </c>
      <c r="AB284" t="s">
        <v>393</v>
      </c>
      <c r="AC284" t="s">
        <v>1241</v>
      </c>
      <c r="AD284" t="s">
        <v>1258</v>
      </c>
      <c r="AE284" t="s">
        <v>345</v>
      </c>
      <c r="AF284" t="s">
        <v>346</v>
      </c>
      <c r="AG284" t="s">
        <v>346</v>
      </c>
      <c r="AH284" t="s">
        <v>346</v>
      </c>
      <c r="AI284" t="s">
        <v>346</v>
      </c>
      <c r="AJ284" t="s">
        <v>339</v>
      </c>
      <c r="AK284">
        <v>1632</v>
      </c>
      <c r="AL284" t="s">
        <v>377</v>
      </c>
      <c r="AM284" t="s">
        <v>347</v>
      </c>
      <c r="AN284" t="s">
        <v>348</v>
      </c>
      <c r="AO284" t="s">
        <v>367</v>
      </c>
      <c r="AP284" t="s">
        <v>386</v>
      </c>
      <c r="AQ284" t="s">
        <v>368</v>
      </c>
      <c r="AR284" t="s">
        <v>369</v>
      </c>
      <c r="AS284">
        <v>13</v>
      </c>
      <c r="AT284" t="s">
        <v>349</v>
      </c>
      <c r="AU284" t="s">
        <v>367</v>
      </c>
      <c r="AV284" t="s">
        <v>367</v>
      </c>
      <c r="AW284" t="s">
        <v>367</v>
      </c>
      <c r="AX284" t="s">
        <v>367</v>
      </c>
      <c r="AY284" t="s">
        <v>367</v>
      </c>
      <c r="AZ284" t="s">
        <v>367</v>
      </c>
      <c r="BA284" t="s">
        <v>367</v>
      </c>
      <c r="BB284" t="s">
        <v>367</v>
      </c>
      <c r="BC284">
        <v>2</v>
      </c>
    </row>
    <row r="285" spans="1:55" ht="15" customHeight="1" x14ac:dyDescent="0.35">
      <c r="A285" t="s">
        <v>995</v>
      </c>
      <c r="B285" t="s">
        <v>1519</v>
      </c>
      <c r="C285" t="s">
        <v>323</v>
      </c>
      <c r="D285" t="s">
        <v>179</v>
      </c>
      <c r="E285" t="str">
        <f>"2002"</f>
        <v>2002</v>
      </c>
      <c r="F285" t="s">
        <v>324</v>
      </c>
      <c r="G285" t="s">
        <v>335</v>
      </c>
      <c r="H285" t="s">
        <v>335</v>
      </c>
      <c r="I285" t="s">
        <v>335</v>
      </c>
      <c r="J285" t="s">
        <v>339</v>
      </c>
      <c r="K285" t="s">
        <v>335</v>
      </c>
      <c r="L285" t="s">
        <v>335</v>
      </c>
      <c r="M285" t="s">
        <v>352</v>
      </c>
      <c r="N285" t="s">
        <v>335</v>
      </c>
      <c r="P285" t="s">
        <v>1205</v>
      </c>
      <c r="Q285" t="s">
        <v>1206</v>
      </c>
      <c r="R285" t="s">
        <v>1207</v>
      </c>
      <c r="S285" t="s">
        <v>1204</v>
      </c>
      <c r="T285" t="s">
        <v>1235</v>
      </c>
      <c r="U285" t="s">
        <v>665</v>
      </c>
      <c r="V285">
        <v>20.851302</v>
      </c>
      <c r="W285">
        <v>-156.21126000000001</v>
      </c>
      <c r="X285">
        <v>2000</v>
      </c>
      <c r="Y285" t="s">
        <v>1150</v>
      </c>
      <c r="Z285" t="s">
        <v>1209</v>
      </c>
      <c r="AA285" t="s">
        <v>1236</v>
      </c>
      <c r="AB285" t="s">
        <v>441</v>
      </c>
      <c r="AC285" t="s">
        <v>366</v>
      </c>
      <c r="AD285" t="s">
        <v>1208</v>
      </c>
      <c r="AE285" t="s">
        <v>364</v>
      </c>
      <c r="AF285" t="s">
        <v>346</v>
      </c>
      <c r="AG285" t="s">
        <v>346</v>
      </c>
      <c r="AH285" t="s">
        <v>346</v>
      </c>
      <c r="AI285" t="s">
        <v>346</v>
      </c>
      <c r="AJ285" t="s">
        <v>339</v>
      </c>
      <c r="AK285">
        <v>24</v>
      </c>
      <c r="AL285" t="s">
        <v>377</v>
      </c>
      <c r="AM285" t="s">
        <v>366</v>
      </c>
      <c r="AN285" t="s">
        <v>348</v>
      </c>
      <c r="AO285" t="s">
        <v>367</v>
      </c>
      <c r="AP285" t="s">
        <v>386</v>
      </c>
      <c r="AQ285" t="s">
        <v>368</v>
      </c>
      <c r="AR285" t="s">
        <v>369</v>
      </c>
      <c r="AS285">
        <v>29</v>
      </c>
      <c r="AT285" t="s">
        <v>349</v>
      </c>
      <c r="AU285" t="s">
        <v>367</v>
      </c>
      <c r="AV285" t="s">
        <v>349</v>
      </c>
      <c r="AW285" t="s">
        <v>367</v>
      </c>
      <c r="AX285" t="s">
        <v>367</v>
      </c>
      <c r="AY285" t="s">
        <v>367</v>
      </c>
      <c r="AZ285" t="s">
        <v>367</v>
      </c>
      <c r="BA285" t="s">
        <v>367</v>
      </c>
      <c r="BB285" t="s">
        <v>367</v>
      </c>
      <c r="BC285">
        <v>1.5</v>
      </c>
    </row>
    <row r="286" spans="1:55" ht="15" customHeight="1" x14ac:dyDescent="0.35">
      <c r="A286" t="s">
        <v>995</v>
      </c>
      <c r="B286" t="s">
        <v>1686</v>
      </c>
      <c r="C286" t="s">
        <v>325</v>
      </c>
      <c r="D286" t="s">
        <v>78</v>
      </c>
      <c r="E286">
        <v>1996</v>
      </c>
      <c r="F286" t="s">
        <v>326</v>
      </c>
      <c r="G286" t="s">
        <v>335</v>
      </c>
      <c r="H286" t="s">
        <v>335</v>
      </c>
      <c r="I286" t="s">
        <v>335</v>
      </c>
      <c r="J286" t="s">
        <v>339</v>
      </c>
      <c r="K286" t="s">
        <v>335</v>
      </c>
      <c r="L286" t="s">
        <v>335</v>
      </c>
      <c r="M286" t="s">
        <v>352</v>
      </c>
      <c r="N286" t="s">
        <v>352</v>
      </c>
      <c r="P286" t="s">
        <v>836</v>
      </c>
      <c r="Q286" t="s">
        <v>870</v>
      </c>
      <c r="R286" t="s">
        <v>871</v>
      </c>
      <c r="S286" t="s">
        <v>869</v>
      </c>
      <c r="T286" t="s">
        <v>1235</v>
      </c>
      <c r="U286" t="s">
        <v>1280</v>
      </c>
      <c r="V286">
        <v>69</v>
      </c>
      <c r="W286">
        <v>27</v>
      </c>
      <c r="X286">
        <v>140</v>
      </c>
      <c r="Y286" t="s">
        <v>982</v>
      </c>
      <c r="AA286" t="s">
        <v>1236</v>
      </c>
      <c r="AB286" t="s">
        <v>363</v>
      </c>
      <c r="AC286" t="s">
        <v>366</v>
      </c>
      <c r="AD286" t="s">
        <v>1041</v>
      </c>
      <c r="AE286" t="s">
        <v>364</v>
      </c>
      <c r="AF286">
        <v>-2.2100000000000002E-2</v>
      </c>
      <c r="AG286" t="s">
        <v>346</v>
      </c>
      <c r="AH286" t="s">
        <v>346</v>
      </c>
      <c r="AI286" t="s">
        <v>346</v>
      </c>
      <c r="AJ286" t="s">
        <v>592</v>
      </c>
      <c r="AK286">
        <v>138</v>
      </c>
      <c r="AL286" t="s">
        <v>377</v>
      </c>
      <c r="AM286" t="s">
        <v>366</v>
      </c>
      <c r="AN286" t="s">
        <v>410</v>
      </c>
      <c r="AO286" t="s">
        <v>367</v>
      </c>
      <c r="AP286" t="s">
        <v>411</v>
      </c>
      <c r="AQ286" t="s">
        <v>368</v>
      </c>
      <c r="AR286" t="s">
        <v>369</v>
      </c>
      <c r="AS286">
        <v>17</v>
      </c>
      <c r="AT286" t="s">
        <v>349</v>
      </c>
      <c r="AU286" t="s">
        <v>367</v>
      </c>
      <c r="AV286" t="s">
        <v>349</v>
      </c>
      <c r="AW286" t="s">
        <v>367</v>
      </c>
      <c r="AX286" t="s">
        <v>367</v>
      </c>
      <c r="AY286" t="s">
        <v>367</v>
      </c>
      <c r="AZ286" t="s">
        <v>367</v>
      </c>
      <c r="BA286" t="s">
        <v>367</v>
      </c>
      <c r="BB286" t="s">
        <v>367</v>
      </c>
      <c r="BC286">
        <v>6</v>
      </c>
    </row>
    <row r="287" spans="1:55" ht="15" customHeight="1" x14ac:dyDescent="0.35">
      <c r="A287" t="s">
        <v>1065</v>
      </c>
      <c r="B287" t="s">
        <v>1687</v>
      </c>
      <c r="C287" t="s">
        <v>1103</v>
      </c>
      <c r="D287" t="s">
        <v>52</v>
      </c>
      <c r="E287">
        <v>1999</v>
      </c>
      <c r="F287" t="s">
        <v>1104</v>
      </c>
      <c r="G287" t="s">
        <v>335</v>
      </c>
      <c r="H287" t="s">
        <v>335</v>
      </c>
      <c r="I287" t="s">
        <v>335</v>
      </c>
      <c r="J287" t="s">
        <v>339</v>
      </c>
      <c r="K287" t="s">
        <v>335</v>
      </c>
      <c r="L287" t="s">
        <v>335</v>
      </c>
      <c r="M287" t="s">
        <v>352</v>
      </c>
      <c r="N287" t="s">
        <v>352</v>
      </c>
      <c r="P287" t="s">
        <v>1154</v>
      </c>
      <c r="Q287" t="s">
        <v>1155</v>
      </c>
      <c r="R287" t="s">
        <v>1156</v>
      </c>
      <c r="S287" t="s">
        <v>1151</v>
      </c>
      <c r="T287" t="s">
        <v>1249</v>
      </c>
      <c r="U287" t="s">
        <v>422</v>
      </c>
      <c r="V287">
        <v>42.15</v>
      </c>
      <c r="W287">
        <v>-8.5299999999999994</v>
      </c>
      <c r="X287">
        <v>55</v>
      </c>
      <c r="Y287" t="s">
        <v>1152</v>
      </c>
      <c r="Z287" t="s">
        <v>1153</v>
      </c>
      <c r="AA287" t="s">
        <v>1236</v>
      </c>
      <c r="AB287" t="s">
        <v>611</v>
      </c>
      <c r="AC287" t="s">
        <v>366</v>
      </c>
      <c r="AD287" t="s">
        <v>1366</v>
      </c>
      <c r="AE287" t="s">
        <v>364</v>
      </c>
      <c r="AF287">
        <v>3.5</v>
      </c>
      <c r="AG287" t="s">
        <v>346</v>
      </c>
      <c r="AH287" t="s">
        <v>346</v>
      </c>
      <c r="AI287" t="s">
        <v>346</v>
      </c>
      <c r="AJ287" t="s">
        <v>592</v>
      </c>
      <c r="AK287">
        <v>262</v>
      </c>
      <c r="AL287" t="s">
        <v>377</v>
      </c>
      <c r="AM287" t="s">
        <v>366</v>
      </c>
      <c r="AN287" t="s">
        <v>348</v>
      </c>
      <c r="AO287" t="s">
        <v>367</v>
      </c>
      <c r="AP287" t="s">
        <v>492</v>
      </c>
      <c r="AQ287" t="s">
        <v>368</v>
      </c>
      <c r="AR287" t="s">
        <v>369</v>
      </c>
      <c r="AS287">
        <v>1781</v>
      </c>
      <c r="AT287" t="s">
        <v>367</v>
      </c>
      <c r="AU287" t="s">
        <v>367</v>
      </c>
      <c r="AV287" t="s">
        <v>367</v>
      </c>
      <c r="AW287" t="s">
        <v>367</v>
      </c>
      <c r="AX287" t="s">
        <v>349</v>
      </c>
      <c r="AY287" t="s">
        <v>367</v>
      </c>
      <c r="AZ287" t="s">
        <v>367</v>
      </c>
      <c r="BA287" t="s">
        <v>367</v>
      </c>
      <c r="BB287" t="s">
        <v>367</v>
      </c>
      <c r="BC287">
        <v>3</v>
      </c>
    </row>
    <row r="288" spans="1:55" ht="15" customHeight="1" x14ac:dyDescent="0.35">
      <c r="A288" t="s">
        <v>995</v>
      </c>
      <c r="B288" t="s">
        <v>1688</v>
      </c>
      <c r="C288" t="s">
        <v>327</v>
      </c>
      <c r="D288" t="s">
        <v>328</v>
      </c>
      <c r="E288">
        <v>2012</v>
      </c>
      <c r="F288" t="s">
        <v>329</v>
      </c>
      <c r="G288" t="s">
        <v>335</v>
      </c>
      <c r="H288" t="s">
        <v>335</v>
      </c>
      <c r="I288" t="s">
        <v>335</v>
      </c>
      <c r="J288" t="s">
        <v>339</v>
      </c>
      <c r="K288" t="s">
        <v>335</v>
      </c>
      <c r="L288" t="s">
        <v>335</v>
      </c>
      <c r="M288" t="s">
        <v>352</v>
      </c>
      <c r="N288" t="s">
        <v>352</v>
      </c>
      <c r="P288" t="s">
        <v>480</v>
      </c>
      <c r="Q288" t="s">
        <v>481</v>
      </c>
      <c r="R288" t="s">
        <v>482</v>
      </c>
      <c r="S288" t="s">
        <v>1514</v>
      </c>
      <c r="T288" t="s">
        <v>348</v>
      </c>
      <c r="U288" t="s">
        <v>344</v>
      </c>
      <c r="V288">
        <v>43.600467000000002</v>
      </c>
      <c r="W288">
        <v>-107.653237</v>
      </c>
      <c r="X288">
        <v>2127</v>
      </c>
      <c r="Y288" t="s">
        <v>837</v>
      </c>
      <c r="AA288" t="s">
        <v>1247</v>
      </c>
      <c r="AB288" t="s">
        <v>400</v>
      </c>
      <c r="AC288" t="s">
        <v>366</v>
      </c>
      <c r="AD288" t="s">
        <v>983</v>
      </c>
      <c r="AE288" t="s">
        <v>364</v>
      </c>
      <c r="AF288">
        <v>-0.75509999999999999</v>
      </c>
      <c r="AG288">
        <v>0.31669999999999998</v>
      </c>
      <c r="AH288" t="s">
        <v>346</v>
      </c>
      <c r="AI288" t="s">
        <v>346</v>
      </c>
      <c r="AJ288" t="s">
        <v>592</v>
      </c>
      <c r="AK288">
        <v>83</v>
      </c>
      <c r="AL288" t="s">
        <v>377</v>
      </c>
      <c r="AM288" t="s">
        <v>347</v>
      </c>
      <c r="AN288" t="s">
        <v>348</v>
      </c>
      <c r="AO288" t="s">
        <v>349</v>
      </c>
      <c r="AP288" t="s">
        <v>355</v>
      </c>
      <c r="AQ288" t="s">
        <v>351</v>
      </c>
      <c r="AR288" t="s">
        <v>356</v>
      </c>
      <c r="AS288">
        <v>1950</v>
      </c>
      <c r="AT288" t="s">
        <v>349</v>
      </c>
      <c r="AU288" t="s">
        <v>349</v>
      </c>
      <c r="AV288" t="s">
        <v>367</v>
      </c>
      <c r="AW288" t="s">
        <v>367</v>
      </c>
      <c r="AX288" t="s">
        <v>367</v>
      </c>
      <c r="AY288" t="s">
        <v>367</v>
      </c>
      <c r="AZ288" t="s">
        <v>367</v>
      </c>
      <c r="BA288" t="s">
        <v>367</v>
      </c>
      <c r="BB288" t="s">
        <v>367</v>
      </c>
      <c r="BC288">
        <v>7.5</v>
      </c>
    </row>
    <row r="289" spans="1:55" ht="15" customHeight="1" x14ac:dyDescent="0.35">
      <c r="A289" t="s">
        <v>995</v>
      </c>
      <c r="B289" t="s">
        <v>1689</v>
      </c>
      <c r="C289" t="s">
        <v>1084</v>
      </c>
      <c r="D289" t="s">
        <v>1085</v>
      </c>
      <c r="E289">
        <v>2022</v>
      </c>
      <c r="F289" t="s">
        <v>1086</v>
      </c>
      <c r="G289" t="s">
        <v>335</v>
      </c>
      <c r="H289" t="s">
        <v>335</v>
      </c>
      <c r="I289" t="s">
        <v>335</v>
      </c>
      <c r="J289" t="s">
        <v>339</v>
      </c>
      <c r="K289" t="s">
        <v>335</v>
      </c>
      <c r="L289" t="s">
        <v>335</v>
      </c>
      <c r="M289" t="s">
        <v>352</v>
      </c>
      <c r="N289" t="s">
        <v>335</v>
      </c>
      <c r="P289" t="s">
        <v>461</v>
      </c>
      <c r="Q289" t="s">
        <v>508</v>
      </c>
      <c r="R289" t="s">
        <v>509</v>
      </c>
      <c r="S289" t="s">
        <v>507</v>
      </c>
      <c r="T289" t="s">
        <v>348</v>
      </c>
      <c r="U289" t="s">
        <v>344</v>
      </c>
      <c r="V289">
        <v>44.58</v>
      </c>
      <c r="W289">
        <v>-66.760000000000005</v>
      </c>
      <c r="X289">
        <v>25</v>
      </c>
      <c r="Y289" t="s">
        <v>1129</v>
      </c>
      <c r="Z289" t="s">
        <v>1130</v>
      </c>
      <c r="AA289" t="s">
        <v>1236</v>
      </c>
      <c r="AB289" t="s">
        <v>514</v>
      </c>
      <c r="AC289" t="s">
        <v>366</v>
      </c>
      <c r="AD289" t="s">
        <v>1305</v>
      </c>
      <c r="AE289" t="s">
        <v>364</v>
      </c>
      <c r="AF289" t="s">
        <v>346</v>
      </c>
      <c r="AG289" t="s">
        <v>346</v>
      </c>
      <c r="AH289" t="s">
        <v>346</v>
      </c>
      <c r="AI289" t="s">
        <v>346</v>
      </c>
      <c r="AJ289" t="s">
        <v>339</v>
      </c>
      <c r="AK289">
        <v>729</v>
      </c>
      <c r="AL289" t="s">
        <v>377</v>
      </c>
      <c r="AM289" t="s">
        <v>347</v>
      </c>
      <c r="AN289" t="s">
        <v>410</v>
      </c>
      <c r="AO289" t="s">
        <v>367</v>
      </c>
      <c r="AP289" t="s">
        <v>411</v>
      </c>
      <c r="AQ289" t="s">
        <v>368</v>
      </c>
      <c r="AR289" t="s">
        <v>369</v>
      </c>
      <c r="AS289">
        <v>20</v>
      </c>
      <c r="AT289" t="s">
        <v>349</v>
      </c>
      <c r="AU289" t="s">
        <v>367</v>
      </c>
      <c r="AV289" t="s">
        <v>367</v>
      </c>
      <c r="AW289" t="s">
        <v>367</v>
      </c>
      <c r="AX289" t="s">
        <v>367</v>
      </c>
      <c r="AY289" t="s">
        <v>367</v>
      </c>
      <c r="AZ289" t="s">
        <v>367</v>
      </c>
      <c r="BA289" t="s">
        <v>367</v>
      </c>
      <c r="BB289" t="s">
        <v>367</v>
      </c>
      <c r="BC289">
        <v>5.5</v>
      </c>
    </row>
    <row r="290" spans="1:55" ht="15" customHeight="1" x14ac:dyDescent="0.35">
      <c r="A290" t="s">
        <v>995</v>
      </c>
      <c r="B290" t="s">
        <v>1689</v>
      </c>
      <c r="C290" t="s">
        <v>1084</v>
      </c>
      <c r="D290" t="s">
        <v>1085</v>
      </c>
      <c r="E290">
        <v>2022</v>
      </c>
      <c r="F290" t="s">
        <v>1086</v>
      </c>
      <c r="G290" t="s">
        <v>335</v>
      </c>
      <c r="H290" t="s">
        <v>335</v>
      </c>
      <c r="I290" t="s">
        <v>335</v>
      </c>
      <c r="J290" t="s">
        <v>339</v>
      </c>
      <c r="K290" t="s">
        <v>335</v>
      </c>
      <c r="L290" t="s">
        <v>335</v>
      </c>
      <c r="M290" t="s">
        <v>352</v>
      </c>
      <c r="N290" t="s">
        <v>335</v>
      </c>
      <c r="P290" t="s">
        <v>395</v>
      </c>
      <c r="Q290" t="s">
        <v>748</v>
      </c>
      <c r="R290" t="s">
        <v>749</v>
      </c>
      <c r="S290" t="s">
        <v>745</v>
      </c>
      <c r="T290" t="s">
        <v>348</v>
      </c>
      <c r="U290" t="s">
        <v>344</v>
      </c>
      <c r="V290">
        <v>44.58</v>
      </c>
      <c r="W290">
        <v>-66.760000000000005</v>
      </c>
      <c r="X290">
        <v>25</v>
      </c>
      <c r="Y290" t="s">
        <v>1129</v>
      </c>
      <c r="Z290" t="s">
        <v>1130</v>
      </c>
      <c r="AA290" t="s">
        <v>1236</v>
      </c>
      <c r="AB290" t="s">
        <v>514</v>
      </c>
      <c r="AC290" t="s">
        <v>366</v>
      </c>
      <c r="AD290" t="s">
        <v>1305</v>
      </c>
      <c r="AE290" t="s">
        <v>354</v>
      </c>
      <c r="AF290" t="s">
        <v>346</v>
      </c>
      <c r="AG290" t="s">
        <v>346</v>
      </c>
      <c r="AH290" t="s">
        <v>346</v>
      </c>
      <c r="AI290" t="s">
        <v>346</v>
      </c>
      <c r="AJ290" t="s">
        <v>339</v>
      </c>
      <c r="AK290">
        <v>1166</v>
      </c>
      <c r="AL290" t="s">
        <v>377</v>
      </c>
      <c r="AM290" t="s">
        <v>347</v>
      </c>
      <c r="AN290" t="s">
        <v>348</v>
      </c>
      <c r="AO290" t="s">
        <v>349</v>
      </c>
      <c r="AP290" t="s">
        <v>386</v>
      </c>
      <c r="AQ290" t="s">
        <v>368</v>
      </c>
      <c r="AR290" t="s">
        <v>369</v>
      </c>
      <c r="AS290">
        <v>16</v>
      </c>
      <c r="AT290" t="s">
        <v>349</v>
      </c>
      <c r="AU290" t="s">
        <v>349</v>
      </c>
      <c r="AV290" t="s">
        <v>367</v>
      </c>
      <c r="AW290" t="s">
        <v>367</v>
      </c>
      <c r="AX290" t="s">
        <v>367</v>
      </c>
      <c r="AY290" t="s">
        <v>367</v>
      </c>
      <c r="AZ290" t="s">
        <v>367</v>
      </c>
      <c r="BA290" t="s">
        <v>367</v>
      </c>
      <c r="BB290" t="s">
        <v>367</v>
      </c>
      <c r="BC290">
        <v>4</v>
      </c>
    </row>
    <row r="291" spans="1:55" ht="15" customHeight="1" x14ac:dyDescent="0.35">
      <c r="A291" t="s">
        <v>995</v>
      </c>
      <c r="B291" t="s">
        <v>1689</v>
      </c>
      <c r="C291" t="s">
        <v>1084</v>
      </c>
      <c r="D291" t="s">
        <v>1085</v>
      </c>
      <c r="E291">
        <v>2022</v>
      </c>
      <c r="F291" t="s">
        <v>1086</v>
      </c>
      <c r="G291" t="s">
        <v>335</v>
      </c>
      <c r="H291" t="s">
        <v>335</v>
      </c>
      <c r="I291" t="s">
        <v>335</v>
      </c>
      <c r="J291" t="s">
        <v>339</v>
      </c>
      <c r="K291" t="s">
        <v>335</v>
      </c>
      <c r="L291" t="s">
        <v>335</v>
      </c>
      <c r="M291" t="s">
        <v>352</v>
      </c>
      <c r="N291" t="s">
        <v>335</v>
      </c>
      <c r="P291" t="s">
        <v>461</v>
      </c>
      <c r="Q291" t="s">
        <v>508</v>
      </c>
      <c r="R291" t="s">
        <v>509</v>
      </c>
      <c r="S291" t="s">
        <v>507</v>
      </c>
      <c r="T291" t="s">
        <v>348</v>
      </c>
      <c r="U291" t="s">
        <v>344</v>
      </c>
      <c r="V291">
        <v>44.58</v>
      </c>
      <c r="W291">
        <v>-66.760000000000005</v>
      </c>
      <c r="X291">
        <v>25</v>
      </c>
      <c r="Y291" t="s">
        <v>1129</v>
      </c>
      <c r="Z291" t="s">
        <v>1130</v>
      </c>
      <c r="AA291" t="s">
        <v>1236</v>
      </c>
      <c r="AB291" t="s">
        <v>512</v>
      </c>
      <c r="AC291" t="s">
        <v>366</v>
      </c>
      <c r="AD291" t="s">
        <v>1305</v>
      </c>
      <c r="AE291" t="s">
        <v>354</v>
      </c>
      <c r="AF291" t="s">
        <v>346</v>
      </c>
      <c r="AG291" t="s">
        <v>346</v>
      </c>
      <c r="AH291" t="s">
        <v>346</v>
      </c>
      <c r="AI291" t="s">
        <v>346</v>
      </c>
      <c r="AJ291" t="s">
        <v>339</v>
      </c>
      <c r="AK291">
        <v>729</v>
      </c>
      <c r="AL291" t="s">
        <v>377</v>
      </c>
      <c r="AM291" t="s">
        <v>347</v>
      </c>
      <c r="AN291" t="s">
        <v>410</v>
      </c>
      <c r="AO291" t="s">
        <v>367</v>
      </c>
      <c r="AP291" t="s">
        <v>411</v>
      </c>
      <c r="AQ291" t="s">
        <v>368</v>
      </c>
      <c r="AR291" t="s">
        <v>369</v>
      </c>
      <c r="AS291">
        <v>20</v>
      </c>
      <c r="AT291" t="s">
        <v>349</v>
      </c>
      <c r="AU291" t="s">
        <v>367</v>
      </c>
      <c r="AV291" t="s">
        <v>367</v>
      </c>
      <c r="AW291" t="s">
        <v>367</v>
      </c>
      <c r="AX291" t="s">
        <v>367</v>
      </c>
      <c r="AY291" t="s">
        <v>367</v>
      </c>
      <c r="AZ291" t="s">
        <v>367</v>
      </c>
      <c r="BA291" t="s">
        <v>367</v>
      </c>
      <c r="BB291" t="s">
        <v>367</v>
      </c>
      <c r="BC291">
        <v>5.5</v>
      </c>
    </row>
    <row r="292" spans="1:55" ht="15" customHeight="1" x14ac:dyDescent="0.35">
      <c r="A292" t="s">
        <v>995</v>
      </c>
      <c r="B292" t="s">
        <v>1689</v>
      </c>
      <c r="C292" t="s">
        <v>1084</v>
      </c>
      <c r="D292" t="s">
        <v>1085</v>
      </c>
      <c r="E292">
        <v>2022</v>
      </c>
      <c r="F292" t="s">
        <v>1086</v>
      </c>
      <c r="G292" t="s">
        <v>335</v>
      </c>
      <c r="H292" t="s">
        <v>335</v>
      </c>
      <c r="I292" t="s">
        <v>335</v>
      </c>
      <c r="J292" t="s">
        <v>339</v>
      </c>
      <c r="K292" t="s">
        <v>335</v>
      </c>
      <c r="L292" t="s">
        <v>335</v>
      </c>
      <c r="M292" t="s">
        <v>352</v>
      </c>
      <c r="N292" t="s">
        <v>335</v>
      </c>
      <c r="P292" t="s">
        <v>395</v>
      </c>
      <c r="Q292" t="s">
        <v>748</v>
      </c>
      <c r="R292" t="s">
        <v>749</v>
      </c>
      <c r="S292" t="s">
        <v>745</v>
      </c>
      <c r="T292" t="s">
        <v>348</v>
      </c>
      <c r="U292" t="s">
        <v>344</v>
      </c>
      <c r="V292">
        <v>44.58</v>
      </c>
      <c r="W292">
        <v>-66.760000000000005</v>
      </c>
      <c r="X292">
        <v>25</v>
      </c>
      <c r="Y292" t="s">
        <v>1129</v>
      </c>
      <c r="Z292" t="s">
        <v>1130</v>
      </c>
      <c r="AA292" t="s">
        <v>1236</v>
      </c>
      <c r="AB292" t="s">
        <v>512</v>
      </c>
      <c r="AC292" t="s">
        <v>366</v>
      </c>
      <c r="AD292" t="s">
        <v>1305</v>
      </c>
      <c r="AE292" t="s">
        <v>791</v>
      </c>
      <c r="AF292" t="s">
        <v>346</v>
      </c>
      <c r="AG292" t="s">
        <v>346</v>
      </c>
      <c r="AH292" t="s">
        <v>346</v>
      </c>
      <c r="AI292" t="s">
        <v>346</v>
      </c>
      <c r="AJ292" t="s">
        <v>339</v>
      </c>
      <c r="AK292">
        <v>1166</v>
      </c>
      <c r="AL292" t="s">
        <v>377</v>
      </c>
      <c r="AM292" t="s">
        <v>347</v>
      </c>
      <c r="AN292" t="s">
        <v>348</v>
      </c>
      <c r="AO292" t="s">
        <v>349</v>
      </c>
      <c r="AP292" t="s">
        <v>386</v>
      </c>
      <c r="AQ292" t="s">
        <v>368</v>
      </c>
      <c r="AR292" t="s">
        <v>369</v>
      </c>
      <c r="AS292">
        <v>16</v>
      </c>
      <c r="AT292" t="s">
        <v>349</v>
      </c>
      <c r="AU292" t="s">
        <v>349</v>
      </c>
      <c r="AV292" t="s">
        <v>367</v>
      </c>
      <c r="AW292" t="s">
        <v>367</v>
      </c>
      <c r="AX292" t="s">
        <v>367</v>
      </c>
      <c r="AY292" t="s">
        <v>367</v>
      </c>
      <c r="AZ292" t="s">
        <v>367</v>
      </c>
      <c r="BA292" t="s">
        <v>367</v>
      </c>
      <c r="BB292" t="s">
        <v>367</v>
      </c>
      <c r="BC292">
        <v>4</v>
      </c>
    </row>
    <row r="293" spans="1:55" ht="15" customHeight="1" x14ac:dyDescent="0.35">
      <c r="A293" t="s">
        <v>995</v>
      </c>
      <c r="B293" t="s">
        <v>1690</v>
      </c>
      <c r="C293" t="s">
        <v>1700</v>
      </c>
      <c r="D293" t="s">
        <v>137</v>
      </c>
      <c r="E293">
        <v>2013</v>
      </c>
      <c r="F293" t="s">
        <v>330</v>
      </c>
      <c r="G293" t="s">
        <v>335</v>
      </c>
      <c r="H293" t="s">
        <v>335</v>
      </c>
      <c r="I293" t="s">
        <v>335</v>
      </c>
      <c r="J293" t="s">
        <v>339</v>
      </c>
      <c r="K293" t="s">
        <v>335</v>
      </c>
      <c r="L293" t="s">
        <v>335</v>
      </c>
      <c r="M293" t="s">
        <v>352</v>
      </c>
      <c r="N293" t="s">
        <v>335</v>
      </c>
      <c r="P293" t="s">
        <v>985</v>
      </c>
      <c r="Q293" t="s">
        <v>986</v>
      </c>
      <c r="R293" t="s">
        <v>987</v>
      </c>
      <c r="S293" t="s">
        <v>984</v>
      </c>
      <c r="T293" t="s">
        <v>1235</v>
      </c>
      <c r="U293" t="s">
        <v>665</v>
      </c>
      <c r="V293">
        <v>17.956095999999999</v>
      </c>
      <c r="W293">
        <v>-66.940178000000003</v>
      </c>
      <c r="X293">
        <v>53</v>
      </c>
      <c r="Y293" t="s">
        <v>362</v>
      </c>
      <c r="Z293" t="s">
        <v>988</v>
      </c>
      <c r="AA293" t="s">
        <v>1247</v>
      </c>
      <c r="AB293" t="s">
        <v>400</v>
      </c>
      <c r="AC293" t="s">
        <v>366</v>
      </c>
      <c r="AD293" t="s">
        <v>433</v>
      </c>
      <c r="AE293" t="s">
        <v>345</v>
      </c>
      <c r="AF293" t="s">
        <v>346</v>
      </c>
      <c r="AG293" t="s">
        <v>346</v>
      </c>
      <c r="AH293" t="s">
        <v>346</v>
      </c>
      <c r="AI293" t="s">
        <v>346</v>
      </c>
      <c r="AJ293" t="s">
        <v>339</v>
      </c>
      <c r="AK293">
        <v>43</v>
      </c>
      <c r="AL293" t="s">
        <v>377</v>
      </c>
      <c r="AM293" t="s">
        <v>347</v>
      </c>
      <c r="AN293" t="s">
        <v>348</v>
      </c>
      <c r="AO293" t="s">
        <v>367</v>
      </c>
      <c r="AP293" t="s">
        <v>386</v>
      </c>
      <c r="AQ293" t="s">
        <v>368</v>
      </c>
      <c r="AR293" t="s">
        <v>369</v>
      </c>
      <c r="AS293">
        <v>33</v>
      </c>
      <c r="AT293" t="s">
        <v>367</v>
      </c>
      <c r="AU293" t="s">
        <v>349</v>
      </c>
      <c r="AV293" t="s">
        <v>349</v>
      </c>
      <c r="AW293" t="s">
        <v>367</v>
      </c>
      <c r="AX293" t="s">
        <v>367</v>
      </c>
      <c r="AY293" t="s">
        <v>367</v>
      </c>
      <c r="AZ293" t="s">
        <v>367</v>
      </c>
      <c r="BA293" t="s">
        <v>367</v>
      </c>
      <c r="BB293" t="s">
        <v>367</v>
      </c>
      <c r="BC293">
        <v>3</v>
      </c>
    </row>
    <row r="294" spans="1:55" ht="15" customHeight="1" x14ac:dyDescent="0.35">
      <c r="A294" t="s">
        <v>995</v>
      </c>
      <c r="B294" t="s">
        <v>1691</v>
      </c>
      <c r="C294" t="s">
        <v>331</v>
      </c>
      <c r="D294" t="s">
        <v>34</v>
      </c>
      <c r="E294">
        <v>2013</v>
      </c>
      <c r="F294" t="s">
        <v>332</v>
      </c>
      <c r="G294" t="s">
        <v>335</v>
      </c>
      <c r="H294" t="s">
        <v>335</v>
      </c>
      <c r="I294" t="s">
        <v>335</v>
      </c>
      <c r="J294" t="s">
        <v>339</v>
      </c>
      <c r="K294" t="s">
        <v>335</v>
      </c>
      <c r="L294" t="s">
        <v>335</v>
      </c>
      <c r="M294" t="s">
        <v>352</v>
      </c>
      <c r="N294" t="s">
        <v>352</v>
      </c>
      <c r="P294" t="s">
        <v>534</v>
      </c>
      <c r="Q294" t="s">
        <v>530</v>
      </c>
      <c r="R294" t="s">
        <v>531</v>
      </c>
      <c r="S294" t="s">
        <v>533</v>
      </c>
      <c r="T294" t="s">
        <v>348</v>
      </c>
      <c r="U294" t="s">
        <v>344</v>
      </c>
      <c r="V294">
        <v>-24.174668</v>
      </c>
      <c r="W294">
        <v>31.149262</v>
      </c>
      <c r="X294">
        <v>371</v>
      </c>
      <c r="Y294" t="s">
        <v>990</v>
      </c>
      <c r="Z294" t="s">
        <v>989</v>
      </c>
      <c r="AA294" t="s">
        <v>1236</v>
      </c>
      <c r="AB294" t="s">
        <v>384</v>
      </c>
      <c r="AC294" t="s">
        <v>1237</v>
      </c>
      <c r="AD294" t="s">
        <v>1261</v>
      </c>
      <c r="AE294" t="s">
        <v>364</v>
      </c>
      <c r="AF294">
        <v>-5.0000000000000001E-3</v>
      </c>
      <c r="AG294">
        <v>2E-3</v>
      </c>
      <c r="AH294" t="s">
        <v>346</v>
      </c>
      <c r="AI294" t="s">
        <v>346</v>
      </c>
      <c r="AJ294" t="s">
        <v>592</v>
      </c>
      <c r="AK294">
        <v>67</v>
      </c>
      <c r="AL294" t="s">
        <v>527</v>
      </c>
      <c r="AN294" t="s">
        <v>410</v>
      </c>
      <c r="AO294" t="s">
        <v>367</v>
      </c>
      <c r="AP294" t="s">
        <v>411</v>
      </c>
      <c r="AQ294" t="s">
        <v>368</v>
      </c>
      <c r="AR294" t="s">
        <v>535</v>
      </c>
      <c r="AS294">
        <v>4205</v>
      </c>
      <c r="AT294" t="s">
        <v>349</v>
      </c>
      <c r="AU294" t="s">
        <v>367</v>
      </c>
      <c r="AV294" t="s">
        <v>367</v>
      </c>
      <c r="AW294" t="s">
        <v>367</v>
      </c>
      <c r="AX294" t="s">
        <v>367</v>
      </c>
      <c r="AY294" t="s">
        <v>367</v>
      </c>
      <c r="AZ294" t="s">
        <v>349</v>
      </c>
      <c r="BA294" t="s">
        <v>367</v>
      </c>
      <c r="BB294" t="s">
        <v>367</v>
      </c>
      <c r="BC294">
        <v>2</v>
      </c>
    </row>
    <row r="295" spans="1:55" ht="15" customHeight="1" x14ac:dyDescent="0.35">
      <c r="A295" t="s">
        <v>995</v>
      </c>
      <c r="B295" t="s">
        <v>1692</v>
      </c>
      <c r="C295" t="s">
        <v>333</v>
      </c>
      <c r="D295" t="s">
        <v>182</v>
      </c>
      <c r="E295">
        <v>2009</v>
      </c>
      <c r="F295" t="s">
        <v>334</v>
      </c>
      <c r="G295" t="s">
        <v>335</v>
      </c>
      <c r="H295" t="s">
        <v>335</v>
      </c>
      <c r="I295" t="s">
        <v>335</v>
      </c>
      <c r="J295" t="s">
        <v>339</v>
      </c>
      <c r="K295" t="s">
        <v>335</v>
      </c>
      <c r="L295" t="s">
        <v>335</v>
      </c>
      <c r="M295" t="s">
        <v>352</v>
      </c>
      <c r="N295" t="s">
        <v>352</v>
      </c>
      <c r="P295" t="s">
        <v>753</v>
      </c>
      <c r="Q295" t="s">
        <v>991</v>
      </c>
      <c r="R295" t="s">
        <v>992</v>
      </c>
      <c r="S295" t="s">
        <v>993</v>
      </c>
      <c r="T295" t="s">
        <v>348</v>
      </c>
      <c r="U295" t="s">
        <v>344</v>
      </c>
      <c r="V295">
        <v>52.3</v>
      </c>
      <c r="W295">
        <v>0.6</v>
      </c>
      <c r="X295">
        <v>93</v>
      </c>
      <c r="Y295" t="s">
        <v>994</v>
      </c>
      <c r="Z295" t="s">
        <v>1367</v>
      </c>
      <c r="AA295" t="s">
        <v>1236</v>
      </c>
      <c r="AB295" t="s">
        <v>514</v>
      </c>
      <c r="AC295" t="s">
        <v>366</v>
      </c>
      <c r="AD295" t="s">
        <v>1041</v>
      </c>
      <c r="AE295" t="s">
        <v>354</v>
      </c>
      <c r="AF295">
        <v>-0.125</v>
      </c>
      <c r="AG295">
        <v>5.7000000000000002E-3</v>
      </c>
      <c r="AH295" t="s">
        <v>346</v>
      </c>
      <c r="AI295" t="s">
        <v>346</v>
      </c>
      <c r="AJ295" t="s">
        <v>592</v>
      </c>
      <c r="AK295">
        <v>709</v>
      </c>
      <c r="AL295" t="s">
        <v>377</v>
      </c>
      <c r="AM295" t="s">
        <v>339</v>
      </c>
      <c r="AN295" t="s">
        <v>348</v>
      </c>
      <c r="AO295" t="s">
        <v>349</v>
      </c>
      <c r="AP295" t="s">
        <v>386</v>
      </c>
      <c r="AQ295" t="s">
        <v>368</v>
      </c>
      <c r="AR295" t="s">
        <v>369</v>
      </c>
      <c r="AS295">
        <v>29</v>
      </c>
      <c r="AT295" t="s">
        <v>349</v>
      </c>
      <c r="AU295" t="s">
        <v>349</v>
      </c>
      <c r="AV295" t="s">
        <v>367</v>
      </c>
      <c r="AW295" t="s">
        <v>367</v>
      </c>
      <c r="AX295" t="s">
        <v>367</v>
      </c>
      <c r="AY295" t="s">
        <v>367</v>
      </c>
      <c r="AZ295" t="s">
        <v>367</v>
      </c>
      <c r="BA295" t="s">
        <v>367</v>
      </c>
      <c r="BB295" t="s">
        <v>367</v>
      </c>
      <c r="BC295">
        <v>3.5</v>
      </c>
    </row>
    <row r="296" spans="1:55" ht="15" customHeight="1" x14ac:dyDescent="0.35">
      <c r="A296" t="s">
        <v>995</v>
      </c>
      <c r="B296" t="s">
        <v>1692</v>
      </c>
      <c r="C296" t="s">
        <v>333</v>
      </c>
      <c r="D296" t="s">
        <v>182</v>
      </c>
      <c r="E296">
        <v>2009</v>
      </c>
      <c r="F296" t="s">
        <v>334</v>
      </c>
      <c r="G296" t="s">
        <v>335</v>
      </c>
      <c r="H296" t="s">
        <v>335</v>
      </c>
      <c r="I296" t="s">
        <v>335</v>
      </c>
      <c r="J296" t="s">
        <v>339</v>
      </c>
      <c r="K296" t="s">
        <v>335</v>
      </c>
      <c r="L296" t="s">
        <v>335</v>
      </c>
      <c r="M296" t="s">
        <v>352</v>
      </c>
      <c r="N296" t="s">
        <v>352</v>
      </c>
      <c r="P296" t="s">
        <v>753</v>
      </c>
      <c r="Q296" t="s">
        <v>991</v>
      </c>
      <c r="R296" t="s">
        <v>992</v>
      </c>
      <c r="S296" t="s">
        <v>993</v>
      </c>
      <c r="T296" t="s">
        <v>348</v>
      </c>
      <c r="U296" t="s">
        <v>344</v>
      </c>
      <c r="V296">
        <v>52.3</v>
      </c>
      <c r="W296">
        <v>0.6</v>
      </c>
      <c r="X296">
        <v>93</v>
      </c>
      <c r="Y296" t="s">
        <v>994</v>
      </c>
      <c r="Z296" t="s">
        <v>1367</v>
      </c>
      <c r="AA296" t="s">
        <v>1236</v>
      </c>
      <c r="AB296" t="s">
        <v>514</v>
      </c>
      <c r="AC296" t="s">
        <v>1237</v>
      </c>
      <c r="AD296" t="s">
        <v>1261</v>
      </c>
      <c r="AE296" t="s">
        <v>354</v>
      </c>
      <c r="AF296">
        <v>-1.3899999999999999E-2</v>
      </c>
      <c r="AG296">
        <v>1.5699999999999999E-2</v>
      </c>
      <c r="AH296" t="s">
        <v>346</v>
      </c>
      <c r="AI296" t="s">
        <v>346</v>
      </c>
      <c r="AJ296" t="s">
        <v>592</v>
      </c>
      <c r="AK296">
        <v>709</v>
      </c>
      <c r="AL296" t="s">
        <v>377</v>
      </c>
      <c r="AM296" t="s">
        <v>339</v>
      </c>
      <c r="AN296" t="s">
        <v>348</v>
      </c>
      <c r="AO296" t="s">
        <v>349</v>
      </c>
      <c r="AP296" t="s">
        <v>386</v>
      </c>
      <c r="AQ296" t="s">
        <v>368</v>
      </c>
      <c r="AR296" t="s">
        <v>369</v>
      </c>
      <c r="AS296">
        <v>29</v>
      </c>
      <c r="AT296" t="s">
        <v>349</v>
      </c>
      <c r="AU296" t="s">
        <v>349</v>
      </c>
      <c r="AV296" t="s">
        <v>367</v>
      </c>
      <c r="AW296" t="s">
        <v>367</v>
      </c>
      <c r="AX296" t="s">
        <v>367</v>
      </c>
      <c r="AY296" t="s">
        <v>367</v>
      </c>
      <c r="AZ296" t="s">
        <v>367</v>
      </c>
      <c r="BA296" t="s">
        <v>367</v>
      </c>
      <c r="BB296" t="s">
        <v>367</v>
      </c>
      <c r="BC296">
        <v>3.5</v>
      </c>
    </row>
    <row r="297" spans="1:55" ht="15" customHeight="1" x14ac:dyDescent="0.35">
      <c r="A297" t="s">
        <v>995</v>
      </c>
      <c r="B297" t="s">
        <v>1692</v>
      </c>
      <c r="C297" t="s">
        <v>333</v>
      </c>
      <c r="D297" t="s">
        <v>182</v>
      </c>
      <c r="E297">
        <v>2009</v>
      </c>
      <c r="F297" t="s">
        <v>334</v>
      </c>
      <c r="G297" t="s">
        <v>335</v>
      </c>
      <c r="H297" t="s">
        <v>335</v>
      </c>
      <c r="I297" t="s">
        <v>335</v>
      </c>
      <c r="J297" t="s">
        <v>339</v>
      </c>
      <c r="K297" t="s">
        <v>335</v>
      </c>
      <c r="L297" t="s">
        <v>335</v>
      </c>
      <c r="M297" t="s">
        <v>352</v>
      </c>
      <c r="N297" t="s">
        <v>352</v>
      </c>
      <c r="P297" t="s">
        <v>753</v>
      </c>
      <c r="Q297" t="s">
        <v>991</v>
      </c>
      <c r="R297" t="s">
        <v>992</v>
      </c>
      <c r="S297" t="s">
        <v>993</v>
      </c>
      <c r="T297" t="s">
        <v>348</v>
      </c>
      <c r="U297" t="s">
        <v>344</v>
      </c>
      <c r="V297">
        <v>52.3</v>
      </c>
      <c r="W297">
        <v>0.6</v>
      </c>
      <c r="X297">
        <v>93</v>
      </c>
      <c r="Y297" t="s">
        <v>994</v>
      </c>
      <c r="Z297" t="s">
        <v>1367</v>
      </c>
      <c r="AA297" t="s">
        <v>1236</v>
      </c>
      <c r="AB297" t="s">
        <v>384</v>
      </c>
      <c r="AC297" t="s">
        <v>1237</v>
      </c>
      <c r="AD297" t="s">
        <v>1261</v>
      </c>
      <c r="AE297" t="s">
        <v>354</v>
      </c>
      <c r="AF297">
        <v>1.4999999999999999E-2</v>
      </c>
      <c r="AG297">
        <v>0.10589999999999999</v>
      </c>
      <c r="AH297" t="s">
        <v>346</v>
      </c>
      <c r="AI297" t="s">
        <v>346</v>
      </c>
      <c r="AJ297" t="s">
        <v>592</v>
      </c>
      <c r="AK297">
        <v>709</v>
      </c>
      <c r="AL297" t="s">
        <v>377</v>
      </c>
      <c r="AM297" t="s">
        <v>339</v>
      </c>
      <c r="AN297" t="s">
        <v>348</v>
      </c>
      <c r="AO297" t="s">
        <v>349</v>
      </c>
      <c r="AP297" t="s">
        <v>386</v>
      </c>
      <c r="AQ297" t="s">
        <v>368</v>
      </c>
      <c r="AR297" t="s">
        <v>369</v>
      </c>
      <c r="AS297">
        <v>29</v>
      </c>
      <c r="AT297" t="s">
        <v>349</v>
      </c>
      <c r="AU297" t="s">
        <v>349</v>
      </c>
      <c r="AV297" t="s">
        <v>367</v>
      </c>
      <c r="AW297" t="s">
        <v>367</v>
      </c>
      <c r="AX297" t="s">
        <v>367</v>
      </c>
      <c r="AY297" t="s">
        <v>367</v>
      </c>
      <c r="AZ297" t="s">
        <v>367</v>
      </c>
      <c r="BA297" t="s">
        <v>367</v>
      </c>
      <c r="BB297" t="s">
        <v>367</v>
      </c>
      <c r="BC297">
        <v>3.5</v>
      </c>
    </row>
  </sheetData>
  <sortState xmlns:xlrd2="http://schemas.microsoft.com/office/spreadsheetml/2017/richdata2" ref="A2:BC298">
    <sortCondition ref="B1:B298"/>
  </sortState>
  <phoneticPr fontId="4" type="noConversion"/>
  <pageMargins left="0.7" right="0.7" top="0.75" bottom="0.75" header="0.3" footer="0.3"/>
  <pageSetup scale="10" fitToWidth="0"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Katy</dc:creator>
  <cp:lastModifiedBy>Katy Silber</cp:lastModifiedBy>
  <dcterms:created xsi:type="dcterms:W3CDTF">2022-07-14T18:11:27Z</dcterms:created>
  <dcterms:modified xsi:type="dcterms:W3CDTF">2026-02-12T21:12:21Z</dcterms:modified>
</cp:coreProperties>
</file>